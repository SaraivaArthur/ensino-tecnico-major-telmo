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codeName="ThisWorkbook"/>
  <xr:revisionPtr revIDLastSave="0" documentId="13_ncr:1_{6D32C7E1-4981-4358-A0D8-D741AB13E562}" xr6:coauthVersionLast="47" xr6:coauthVersionMax="47" xr10:uidLastSave="{00000000-0000-0000-0000-000000000000}"/>
  <bookViews>
    <workbookView xWindow="-110" yWindow="-110" windowWidth="19420" windowHeight="10300" xr2:uid="{00000000-000D-0000-FFFF-FFFF00000000}"/>
  </bookViews>
  <sheets>
    <sheet name="Cronograma" sheetId="12" r:id="rId1"/>
    <sheet name="Exemplo aplicado" sheetId="13" r:id="rId2"/>
  </sheets>
  <definedNames>
    <definedName name="Hoje" localSheetId="0">TODAY()</definedName>
    <definedName name="Hoje" localSheetId="1">TODAY()</definedName>
    <definedName name="Início_da_tarefa" localSheetId="0">Cronograma!$F1</definedName>
    <definedName name="Início_da_tarefa" localSheetId="1">'Exemplo aplicado'!$F1</definedName>
    <definedName name="Início_do_projeto" localSheetId="0">Cronograma!$F$3</definedName>
    <definedName name="Início_do_projeto" localSheetId="1">'Exemplo aplicado'!$F$3</definedName>
    <definedName name="Início_do_projeto">#REF!</definedName>
    <definedName name="Progresso_da_tarefa" localSheetId="0">Cronograma!$E1</definedName>
    <definedName name="Progresso_da_tarefa" localSheetId="1">'Exemplo aplicado'!$E1</definedName>
    <definedName name="Semana_de_exibição" localSheetId="0">Cronograma!$F$4</definedName>
    <definedName name="Semana_de_exibição" localSheetId="1">'Exemplo aplicado'!$F$4</definedName>
    <definedName name="Semana_de_exibição">#REF!</definedName>
    <definedName name="Término_da_tarefa" localSheetId="0">Cronograma!$G1</definedName>
    <definedName name="Término_da_tarefa" localSheetId="1">'Exemplo aplicado'!$G1</definedName>
    <definedName name="_xlnm.Print_Titles" localSheetId="0">Cronograma!$4:$6</definedName>
    <definedName name="_xlnm.Print_Titles" localSheetId="1">'Exemplo aplicado'!$4:$6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3" i="13" l="1"/>
  <c r="I10" i="13"/>
  <c r="I22" i="13"/>
  <c r="I21" i="13"/>
  <c r="I20" i="13"/>
  <c r="I19" i="13"/>
  <c r="I18" i="13"/>
  <c r="I17" i="13"/>
  <c r="I16" i="13"/>
  <c r="I15" i="13"/>
  <c r="I14" i="13"/>
  <c r="I12" i="13"/>
  <c r="I11" i="13"/>
  <c r="I9" i="13"/>
  <c r="I7" i="13"/>
  <c r="F3" i="13"/>
  <c r="J5" i="13" s="1"/>
  <c r="I15" i="12"/>
  <c r="I14" i="12"/>
  <c r="I13" i="12"/>
  <c r="I12" i="12"/>
  <c r="I11" i="12"/>
  <c r="I10" i="12"/>
  <c r="I9" i="12"/>
  <c r="I8" i="12"/>
  <c r="I7" i="12"/>
  <c r="F3" i="12"/>
  <c r="J5" i="12" s="1"/>
  <c r="J6" i="13" l="1"/>
  <c r="J4" i="13"/>
  <c r="K5" i="13"/>
  <c r="J6" i="12"/>
  <c r="J4" i="12"/>
  <c r="K5" i="12"/>
  <c r="L5" i="13" l="1"/>
  <c r="K6" i="13"/>
  <c r="K6" i="12"/>
  <c r="L5" i="12"/>
  <c r="L6" i="13" l="1"/>
  <c r="M5" i="13"/>
  <c r="M5" i="12"/>
  <c r="L6" i="12"/>
  <c r="N5" i="13" l="1"/>
  <c r="M6" i="13"/>
  <c r="N5" i="12"/>
  <c r="M6" i="12"/>
  <c r="N6" i="13" l="1"/>
  <c r="O5" i="13"/>
  <c r="N6" i="12"/>
  <c r="O5" i="12"/>
  <c r="P5" i="13" l="1"/>
  <c r="O6" i="13"/>
  <c r="P5" i="12"/>
  <c r="O6" i="12"/>
  <c r="Q5" i="13" l="1"/>
  <c r="P6" i="13"/>
  <c r="Q5" i="12"/>
  <c r="P6" i="12"/>
  <c r="R5" i="13" l="1"/>
  <c r="Q6" i="13"/>
  <c r="Q4" i="13"/>
  <c r="R5" i="12"/>
  <c r="Q4" i="12"/>
  <c r="Q6" i="12"/>
  <c r="R6" i="13" l="1"/>
  <c r="S5" i="13"/>
  <c r="R6" i="12"/>
  <c r="S5" i="12"/>
  <c r="T5" i="13" l="1"/>
  <c r="S6" i="13"/>
  <c r="S6" i="12"/>
  <c r="T5" i="12"/>
  <c r="T6" i="13" l="1"/>
  <c r="U5" i="13"/>
  <c r="U5" i="12"/>
  <c r="T6" i="12"/>
  <c r="V5" i="13" l="1"/>
  <c r="U6" i="13"/>
  <c r="V5" i="12"/>
  <c r="U6" i="12"/>
  <c r="V6" i="13" l="1"/>
  <c r="W5" i="13"/>
  <c r="V6" i="12"/>
  <c r="W5" i="12"/>
  <c r="X5" i="13" l="1"/>
  <c r="W6" i="13"/>
  <c r="W6" i="12"/>
  <c r="X5" i="12"/>
  <c r="X4" i="13" l="1"/>
  <c r="Y5" i="13"/>
  <c r="X6" i="13"/>
  <c r="X4" i="12"/>
  <c r="Y5" i="12"/>
  <c r="X6" i="12"/>
  <c r="Z5" i="13" l="1"/>
  <c r="Y6" i="13"/>
  <c r="Z5" i="12"/>
  <c r="Y6" i="12"/>
  <c r="Z6" i="13" l="1"/>
  <c r="AA5" i="13"/>
  <c r="Z6" i="12"/>
  <c r="AA5" i="12"/>
  <c r="AB5" i="13" l="1"/>
  <c r="AA6" i="13"/>
  <c r="AB5" i="12"/>
  <c r="AA6" i="12"/>
  <c r="AB6" i="13" l="1"/>
  <c r="AC5" i="13"/>
  <c r="AC5" i="12"/>
  <c r="AB6" i="12"/>
  <c r="AD5" i="13" l="1"/>
  <c r="AC6" i="13"/>
  <c r="AD5" i="12"/>
  <c r="AC6" i="12"/>
  <c r="AD6" i="13" l="1"/>
  <c r="AE5" i="13"/>
  <c r="AD6" i="12"/>
  <c r="AE5" i="12"/>
  <c r="AE4" i="13" l="1"/>
  <c r="AF5" i="13"/>
  <c r="AE6" i="13"/>
  <c r="AE6" i="12"/>
  <c r="AE4" i="12"/>
  <c r="AF5" i="12"/>
  <c r="AG5" i="13" l="1"/>
  <c r="AF6" i="13"/>
  <c r="AG5" i="12"/>
  <c r="AF6" i="12"/>
  <c r="AH5" i="13" l="1"/>
  <c r="AG6" i="13"/>
  <c r="AH5" i="12"/>
  <c r="AG6" i="12"/>
  <c r="AH6" i="13" l="1"/>
  <c r="AI5" i="13"/>
  <c r="AH6" i="12"/>
  <c r="AI5" i="12"/>
  <c r="AJ5" i="13" l="1"/>
  <c r="AI6" i="13"/>
  <c r="AJ5" i="12"/>
  <c r="AI6" i="12"/>
  <c r="AJ6" i="13" l="1"/>
  <c r="AK5" i="13"/>
  <c r="AK5" i="12"/>
  <c r="AJ6" i="12"/>
  <c r="AL5" i="13" l="1"/>
  <c r="AK6" i="13"/>
  <c r="AL5" i="12"/>
  <c r="AK6" i="12"/>
  <c r="AL6" i="13" l="1"/>
  <c r="AL4" i="13"/>
  <c r="AM5" i="13"/>
  <c r="AL6" i="12"/>
  <c r="AL4" i="12"/>
  <c r="AM5" i="12"/>
  <c r="AN5" i="13" l="1"/>
  <c r="AM6" i="13"/>
  <c r="AM6" i="12"/>
  <c r="AN5" i="12"/>
  <c r="AO5" i="13" l="1"/>
  <c r="AN6" i="13"/>
  <c r="AO5" i="12"/>
  <c r="AN6" i="12"/>
  <c r="AP5" i="13" l="1"/>
  <c r="AO6" i="13"/>
  <c r="AP5" i="12"/>
  <c r="AO6" i="12"/>
  <c r="AP6" i="13" l="1"/>
  <c r="AQ5" i="13"/>
  <c r="AP6" i="12"/>
  <c r="AQ5" i="12"/>
  <c r="AR5" i="13" l="1"/>
  <c r="AQ6" i="13"/>
  <c r="AR5" i="12"/>
  <c r="AQ6" i="12"/>
  <c r="AR6" i="13" l="1"/>
  <c r="AS5" i="13"/>
  <c r="AS5" i="12"/>
  <c r="AR6" i="12"/>
  <c r="AT5" i="13" l="1"/>
  <c r="AS6" i="13"/>
  <c r="AS4" i="13"/>
  <c r="AT5" i="12"/>
  <c r="AS6" i="12"/>
  <c r="AS4" i="12"/>
  <c r="AT6" i="13" l="1"/>
  <c r="AU5" i="13"/>
  <c r="AT6" i="12"/>
  <c r="AU5" i="12"/>
  <c r="AV5" i="13" l="1"/>
  <c r="AU6" i="13"/>
  <c r="AU6" i="12"/>
  <c r="AV5" i="12"/>
  <c r="AW5" i="13" l="1"/>
  <c r="AV6" i="13"/>
  <c r="AW5" i="12"/>
  <c r="AV6" i="12"/>
  <c r="AX5" i="13" l="1"/>
  <c r="AW6" i="13"/>
  <c r="AX5" i="12"/>
  <c r="AW6" i="12"/>
  <c r="AX6" i="13" l="1"/>
  <c r="AY5" i="13"/>
  <c r="AX6" i="12"/>
  <c r="AY5" i="12"/>
  <c r="AZ5" i="13" l="1"/>
  <c r="AY6" i="13"/>
  <c r="AZ5" i="12"/>
  <c r="AY6" i="12"/>
  <c r="AZ6" i="13" l="1"/>
  <c r="BA5" i="13"/>
  <c r="AZ4" i="13"/>
  <c r="BA5" i="12"/>
  <c r="AZ6" i="12"/>
  <c r="AZ4" i="12"/>
  <c r="BB5" i="13" l="1"/>
  <c r="BA6" i="13"/>
  <c r="BB5" i="12"/>
  <c r="BA6" i="12"/>
  <c r="BB6" i="13" l="1"/>
  <c r="BC5" i="13"/>
  <c r="BB6" i="12"/>
  <c r="BC5" i="12"/>
  <c r="BD5" i="13" l="1"/>
  <c r="BC6" i="13"/>
  <c r="BC6" i="12"/>
  <c r="BD5" i="12"/>
  <c r="BD6" i="13" l="1"/>
  <c r="BE5" i="13"/>
  <c r="BE5" i="12"/>
  <c r="BD6" i="12"/>
  <c r="BF5" i="13" l="1"/>
  <c r="BE6" i="13"/>
  <c r="BF5" i="12"/>
  <c r="BE6" i="12"/>
  <c r="BF6" i="13" l="1"/>
  <c r="BG5" i="13"/>
  <c r="BF6" i="12"/>
  <c r="BG5" i="12"/>
  <c r="BH5" i="13" l="1"/>
  <c r="BG4" i="13"/>
  <c r="BG6" i="13"/>
  <c r="BG6" i="12"/>
  <c r="BG4" i="12"/>
  <c r="BH5" i="12"/>
  <c r="BI5" i="13" l="1"/>
  <c r="BH6" i="13"/>
  <c r="BI5" i="12"/>
  <c r="BH6" i="12"/>
  <c r="BJ5" i="13" l="1"/>
  <c r="BI6" i="13"/>
  <c r="BJ5" i="12"/>
  <c r="BI6" i="12"/>
  <c r="BJ6" i="13" l="1"/>
  <c r="BK5" i="13"/>
  <c r="BJ6" i="12"/>
  <c r="BK5" i="12"/>
  <c r="BL5" i="13" l="1"/>
  <c r="BK6" i="13"/>
  <c r="BL5" i="12"/>
  <c r="BK6" i="12"/>
  <c r="BM5" i="13" l="1"/>
  <c r="BM6" i="13" s="1"/>
  <c r="BL6" i="13"/>
  <c r="BM5" i="12"/>
  <c r="BM6" i="12" s="1"/>
  <c r="BL6"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tc={B1953FBC-D32C-421B-B70A-4DEB942E95FB}</author>
  </authors>
  <commentList>
    <comment ref="B1" authorId="0" shapeId="0" xr:uid="{B1953FBC-D32C-421B-B70A-4DEB942E95FB}">
      <text>
        <t>[Comentário encadeado]
Sua versão do Excel permite que você leia este comentário encadeado, no entanto, as edições serão removidas se o arquivo for aberto em uma versão mais recente do Excel. Saiba mais: https://go.microsoft.com/fwlink/?linkid=870924
Comentário:
    SEM DA</t>
      </text>
    </comment>
  </commentList>
</comments>
</file>

<file path=xl/sharedStrings.xml><?xml version="1.0" encoding="utf-8"?>
<sst xmlns="http://schemas.openxmlformats.org/spreadsheetml/2006/main" count="94" uniqueCount="70">
  <si>
    <t>Crie um cronograma de projeto nesta planilha.
Digite o título desse projeto na célula B1. 
As informações sobre como usar esta planilha, incluindo instruções para leitores de tela e o autor desta pasta de trabalho, estão na planilha Sobre.
Continue navegando pela coluna A para saber mais.</t>
  </si>
  <si>
    <t>Insira o Nome da empresa na célula B2.</t>
  </si>
  <si>
    <t>Insira o nome do Líder do projeto na célula B3. Insira a data de Início do projeto na célula E3. Início do projeto: o rótulo está na célula C3.</t>
  </si>
  <si>
    <t>Data atual:</t>
  </si>
  <si>
    <t>A semana de exibição na célula E4 representa a semana inicial a ser exibida no cronograma do projeto na célula I4. A data de início do projeto é considerada Semana 1. Para alterar a semana de exibição, basta inserir um novo número da semana na célula E4.
A data inicial para cada semana, começando com a semana de exibição na célula E4, começa na célula I4 e é calculada automaticamente. Há 8 semanas representadas nesse modo de exibição que vão da célula I4 a célula BF4.
Você não deve modificar essas células.
Semana de exibição: o rótulo está na célula C4.</t>
  </si>
  <si>
    <t>Semana de exibição:</t>
  </si>
  <si>
    <t>As células I5 a BL5 contêm o número de dias da semana representado no bloco de células acima de cada célula de data e são calculadas automaticamente.
Você não deve modificar essas células.
A data de hoje é contornada em vermelho (hex #AD3815) a partir da data de hoje na linha 5, passando pela coluna de data inteira até o final do cronograma do projeto.</t>
  </si>
  <si>
    <t>Esta linha inclui cabeçalhos do cronograma do projeto que estão abaixo deles. 
Navegue de B6 a BL6 para ouvir o conteúdo. A primeira letra de cada dia da semana da data acima daquele cabeçalho começa na célula I6 e continua até a célula BL6.
Todo o gráfico de linha do tempo de projeto é gerado automaticamente com base nas datas de início e término inseridas, usando os formatos condicionais.
Não modifique o conteúdo nas células dentro das colunas após a coluna I, começando na célula I7.</t>
  </si>
  <si>
    <t>TAREFA</t>
  </si>
  <si>
    <t>ATRIBUÍDO PARA</t>
  </si>
  <si>
    <t>CUSTO</t>
  </si>
  <si>
    <t>PROGRESSO</t>
  </si>
  <si>
    <t>INÍCIO</t>
  </si>
  <si>
    <t>TÉRMINO</t>
  </si>
  <si>
    <t>DIAS</t>
  </si>
  <si>
    <t xml:space="preserve">Não exclua esta linha. Esta linha ficará oculta para preservar uma fórmula usada para realçar o dia atual no cronograma do projeto. </t>
  </si>
  <si>
    <t xml:space="preserve">A célula B9 contém a tarefa de exemplo "Tarefa 1". 
Insira um novo nome da tarefa na célula B9.
Insira uma pessoa para atribuir a tarefa na célula C9.
Insira o andamento da tarefa na célula D9. Uma barra de progresso é exibida na célula e fica sombreada de acordo com o número na célula. Por exemplo, 50% de progresso sombreia metade da célula.
Insira a data de início da tarefa na célula E9.
Insira a data de término da tarefa na célula F9.
Uma barra de status sombreada das datas inseridas aparece em blocos começando na célula I9 até BL9. </t>
  </si>
  <si>
    <t>As linhas 10 a 13 repetem o padrão da linha 9. 
Repita as instruções da célula A9 para todas as linhas de tarefas nesta planilha. Substitua os dados de exemplo.
Um exemplo de outra fase começa na célula A14. 
Continue inserindo tarefas nas células A10 a A13 ou vá para a célula A14 para saber mais.</t>
  </si>
  <si>
    <t>A célula à direita contém o título do exemplo da Fase 2. 
Você pode criar uma nova fase a qualquer momento na coluna B. Este cronograma de projeto não exige fases. Para remover a fase, basta excluir a linha.
Para criar um novo bloco de fases nesta linha, digite um novo Título na célula à direita.
Para continuar a adicionar tarefas à fase acima, insira uma nova linha acima desta e preencha os dados da tarefa como na instrução da célula A9.
Atualize os detalhes da Fase na célula à direita, com base nas instruções da célula A8.
Continue navegando para baixo nas células da coluna A para saber mais.
Se você ainda não adicionou as novas linhas nesta planilha, encontrará 2 exemplos adicionais de blocos de fase que foram criados nas células B20 e B26. Caso contrário, navegue pelas células da coluna A para localizar os blocos adicionais. 
Repita as instruções das células A8 e A9 sempre que precisar.</t>
  </si>
  <si>
    <t>Bloco de título de fase de exemplo</t>
  </si>
  <si>
    <t>PROJETO DE FORMATURA DO CURSO TÉCNICO</t>
  </si>
  <si>
    <t>Escola Técnica XYZ</t>
  </si>
  <si>
    <t>Turma: 3º ano A</t>
  </si>
  <si>
    <t>Fase 1: Planejamento</t>
  </si>
  <si>
    <t>Definir tema da formatura</t>
  </si>
  <si>
    <t>João Pereira</t>
  </si>
  <si>
    <t>Alugar o local da cerimônia</t>
  </si>
  <si>
    <t>Ana Costa</t>
  </si>
  <si>
    <t>Contratar empresa de buffet</t>
  </si>
  <si>
    <t>Pedro Lima</t>
  </si>
  <si>
    <t>Design de convites</t>
  </si>
  <si>
    <t>Luana Souza</t>
  </si>
  <si>
    <t>Enviar convites</t>
  </si>
  <si>
    <t>Carla Martins</t>
  </si>
  <si>
    <t>Ensaios de cerimônia</t>
  </si>
  <si>
    <t>Marcos Silva</t>
  </si>
  <si>
    <t>Preparação de materiais de formatura</t>
  </si>
  <si>
    <t>Fernanda Oliveira</t>
  </si>
  <si>
    <t>Montar decoração</t>
  </si>
  <si>
    <t>Eduardo Santos</t>
  </si>
  <si>
    <t>Últimos ajustes e revisões</t>
  </si>
  <si>
    <t>Beatriz Almeida</t>
  </si>
  <si>
    <t>Cerimônia de formatura</t>
  </si>
  <si>
    <t>Toda a equipe</t>
  </si>
  <si>
    <t>Fase 3: Pós-cerimônia</t>
  </si>
  <si>
    <t>Limpeza e desmontagem</t>
  </si>
  <si>
    <t>Equipe de apoio</t>
  </si>
  <si>
    <t>Avaliação do evento</t>
  </si>
  <si>
    <t>Coordenação do curso</t>
  </si>
  <si>
    <r>
      <t xml:space="preserve">Fase 2: </t>
    </r>
    <r>
      <rPr>
        <b/>
        <sz val="9"/>
        <rFont val="Poppins"/>
      </rPr>
      <t>Pre</t>
    </r>
    <r>
      <rPr>
        <b/>
        <sz val="9"/>
        <color theme="1"/>
        <rFont val="Poppins"/>
      </rPr>
      <t>parativos finais</t>
    </r>
  </si>
  <si>
    <t>FORMATURA</t>
  </si>
  <si>
    <t>William Lisboa</t>
  </si>
  <si>
    <t>Arthur Saraiva</t>
  </si>
  <si>
    <t>Jhonathan</t>
  </si>
  <si>
    <t>100$</t>
  </si>
  <si>
    <t>William; Arthur Saraiva</t>
  </si>
  <si>
    <t>Back-end</t>
  </si>
  <si>
    <t>login</t>
  </si>
  <si>
    <t>Athur Saraiva</t>
  </si>
  <si>
    <t>Front-end</t>
  </si>
  <si>
    <t>Jonathan; Gabriel Avles</t>
  </si>
  <si>
    <t>0$</t>
  </si>
  <si>
    <t>IA</t>
  </si>
  <si>
    <t>Tela de login</t>
  </si>
  <si>
    <t>Jonathan</t>
  </si>
  <si>
    <t>API</t>
  </si>
  <si>
    <t>Documentação</t>
  </si>
  <si>
    <t>Fabio Rodrigues</t>
  </si>
  <si>
    <t>Lauyt</t>
  </si>
  <si>
    <t>Todos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</si>
</sst>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2" formatCode="_-&quot;R$&quot;\ * #,##0_-;\-&quot;R$&quot;\ * #,##0_-;_-&quot;R$&quot;\ * &quot;-&quot;_-;_-@_-"/>
    <numFmt numFmtId="44" formatCode="_-&quot;R$&quot;\ * #,##0.00_-;\-&quot;R$&quot;\ * #,##0.00_-;_-&quot;R$&quot;\ * &quot;-&quot;??_-;_-@_-"/>
    <numFmt numFmtId="164" formatCode="_(* #,##0_);_(* \(#,##0\);_(* &quot;-&quot;_);_(@_)"/>
    <numFmt numFmtId="165" formatCode="d/m/yy;@"/>
    <numFmt numFmtId="166" formatCode="d\-mmm\-yyyy"/>
    <numFmt numFmtId="167" formatCode="d"/>
    <numFmt numFmtId="168" formatCode="ddd\,\ dd/mm/yyyy"/>
    <numFmt numFmtId="169" formatCode="_-[$R$-416]\ * #,##0.00_-;\-[$R$-416]\ * #,##0.00_-;_-[$R$-416]\ * &quot;-&quot;??_-;_-@_-"/>
  </numFmts>
  <fonts count="38" x14ac:knownFonts="1">
    <font>
      <sz val="11"/>
      <color theme="1"/>
      <name val="Calibri"/>
      <family val="2"/>
      <scheme val="minor"/>
    </font>
    <font>
      <sz val="10"/>
      <name val="Calibri"/>
      <family val="2"/>
      <scheme val="minor"/>
    </font>
    <font>
      <u/>
      <sz val="11"/>
      <color indexed="12"/>
      <name val="Arial"/>
      <family val="2"/>
    </font>
    <font>
      <sz val="11"/>
      <name val="Calibri"/>
      <family val="2"/>
      <scheme val="minor"/>
    </font>
    <font>
      <b/>
      <sz val="11"/>
      <color theme="1"/>
      <name val="Calibri"/>
      <family val="2"/>
      <scheme val="minor"/>
    </font>
    <font>
      <b/>
      <sz val="9"/>
      <color theme="0"/>
      <name val="Calibri"/>
      <family val="2"/>
      <scheme val="minor"/>
    </font>
    <font>
      <sz val="11"/>
      <color theme="1"/>
      <name val="Calibri"/>
      <family val="2"/>
      <scheme val="minor"/>
    </font>
    <font>
      <sz val="14"/>
      <color theme="1"/>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11"/>
      <color theme="0"/>
      <name val="Calibri"/>
      <family val="2"/>
      <scheme val="minor"/>
    </font>
    <font>
      <b/>
      <sz val="11"/>
      <name val="Calibri"/>
      <family val="2"/>
      <scheme val="minor"/>
    </font>
    <font>
      <sz val="10"/>
      <name val="Arial"/>
      <family val="2"/>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1"/>
      <name val="Poppins"/>
    </font>
    <font>
      <b/>
      <sz val="14"/>
      <color theme="1" tint="0.34998626667073579"/>
      <name val="Poppins"/>
    </font>
    <font>
      <sz val="12"/>
      <color theme="1"/>
      <name val="Poppins"/>
    </font>
    <font>
      <sz val="11"/>
      <name val="Poppins"/>
    </font>
    <font>
      <sz val="9"/>
      <name val="Poppins"/>
    </font>
    <font>
      <b/>
      <sz val="9"/>
      <color theme="0"/>
      <name val="Poppins"/>
    </font>
    <font>
      <sz val="8"/>
      <color theme="0"/>
      <name val="Poppins"/>
    </font>
    <font>
      <sz val="9"/>
      <color theme="0"/>
      <name val="Poppins"/>
    </font>
    <font>
      <b/>
      <sz val="9"/>
      <color theme="4" tint="-0.249977111117893"/>
      <name val="Poppins"/>
    </font>
    <font>
      <sz val="9"/>
      <color theme="1"/>
      <name val="Poppins"/>
    </font>
    <font>
      <b/>
      <sz val="9"/>
      <color theme="1"/>
      <name val="Poppins"/>
    </font>
    <font>
      <b/>
      <sz val="9"/>
      <name val="Poppins"/>
    </font>
  </fonts>
  <fills count="37">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s>
  <cellStyleXfs count="55">
    <xf numFmtId="0" fontId="0" fillId="0" borderId="0"/>
    <xf numFmtId="0" fontId="2" fillId="0" borderId="0" applyNumberFormat="0" applyFill="0" applyBorder="0" applyAlignment="0" applyProtection="0">
      <alignment vertical="top"/>
      <protection locked="0"/>
    </xf>
    <xf numFmtId="9" fontId="6" fillId="0" borderId="0" applyFont="0" applyFill="0" applyBorder="0" applyAlignment="0" applyProtection="0"/>
    <xf numFmtId="0" fontId="11" fillId="0" borderId="0"/>
    <xf numFmtId="9" fontId="6" fillId="0" borderId="3" applyFont="0" applyFill="0" applyAlignment="0" applyProtection="0"/>
    <xf numFmtId="0" fontId="8" fillId="0" borderId="0" applyNumberFormat="0" applyFill="0" applyBorder="0" applyAlignment="0" applyProtection="0"/>
    <xf numFmtId="0" fontId="7" fillId="0" borderId="0" applyNumberFormat="0" applyFill="0" applyAlignment="0" applyProtection="0"/>
    <xf numFmtId="0" fontId="7" fillId="0" borderId="0" applyNumberFormat="0" applyFill="0" applyProtection="0">
      <alignment vertical="top"/>
    </xf>
    <xf numFmtId="0" fontId="6" fillId="0" borderId="0" applyNumberFormat="0" applyFill="0" applyProtection="0">
      <alignment horizontal="right" indent="1"/>
    </xf>
    <xf numFmtId="168" fontId="6" fillId="0" borderId="3">
      <alignment horizontal="center" vertical="center"/>
    </xf>
    <xf numFmtId="165" fontId="6" fillId="0" borderId="2" applyFill="0">
      <alignment horizontal="center" vertical="center"/>
    </xf>
    <xf numFmtId="0" fontId="6" fillId="0" borderId="2" applyFill="0">
      <alignment horizontal="center" vertical="center"/>
    </xf>
    <xf numFmtId="0" fontId="6" fillId="0" borderId="2" applyFill="0">
      <alignment horizontal="left" vertical="center" indent="2"/>
    </xf>
    <xf numFmtId="0" fontId="14" fillId="0" borderId="0" applyNumberFormat="0" applyFill="0" applyBorder="0" applyAlignment="0" applyProtection="0"/>
    <xf numFmtId="164" fontId="6"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0" fontId="15" fillId="0" borderId="0" applyNumberFormat="0" applyFill="0" applyBorder="0" applyAlignment="0" applyProtection="0"/>
    <xf numFmtId="0" fontId="16" fillId="6" borderId="0" applyNumberFormat="0" applyBorder="0" applyAlignment="0" applyProtection="0"/>
    <xf numFmtId="0" fontId="17" fillId="7" borderId="0" applyNumberFormat="0" applyBorder="0" applyAlignment="0" applyProtection="0"/>
    <xf numFmtId="0" fontId="18" fillId="8" borderId="0" applyNumberFormat="0" applyBorder="0" applyAlignment="0" applyProtection="0"/>
    <xf numFmtId="0" fontId="19" fillId="9" borderId="11" applyNumberFormat="0" applyAlignment="0" applyProtection="0"/>
    <xf numFmtId="0" fontId="20" fillId="10" borderId="12" applyNumberFormat="0" applyAlignment="0" applyProtection="0"/>
    <xf numFmtId="0" fontId="21" fillId="10" borderId="11" applyNumberFormat="0" applyAlignment="0" applyProtection="0"/>
    <xf numFmtId="0" fontId="22" fillId="0" borderId="13" applyNumberFormat="0" applyFill="0" applyAlignment="0" applyProtection="0"/>
    <xf numFmtId="0" fontId="23" fillId="11" borderId="14" applyNumberFormat="0" applyAlignment="0" applyProtection="0"/>
    <xf numFmtId="0" fontId="24" fillId="0" borderId="0" applyNumberFormat="0" applyFill="0" applyBorder="0" applyAlignment="0" applyProtection="0"/>
    <xf numFmtId="0" fontId="6" fillId="12" borderId="15" applyNumberFormat="0" applyFont="0" applyAlignment="0" applyProtection="0"/>
    <xf numFmtId="0" fontId="25" fillId="0" borderId="0" applyNumberFormat="0" applyFill="0" applyBorder="0" applyAlignment="0" applyProtection="0"/>
    <xf numFmtId="0" fontId="4" fillId="0" borderId="16" applyNumberFormat="0" applyFill="0" applyAlignment="0" applyProtection="0"/>
    <xf numFmtId="0" fontId="11" fillId="13"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11" fillId="17"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11" fillId="21"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11" fillId="25" borderId="0" applyNumberFormat="0" applyBorder="0" applyAlignment="0" applyProtection="0"/>
    <xf numFmtId="0" fontId="6" fillId="26"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11" fillId="29" borderId="0" applyNumberFormat="0" applyBorder="0" applyAlignment="0" applyProtection="0"/>
    <xf numFmtId="0" fontId="6" fillId="30"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11" fillId="33" borderId="0" applyNumberFormat="0" applyBorder="0" applyAlignment="0" applyProtection="0"/>
    <xf numFmtId="0" fontId="6" fillId="34" borderId="0" applyNumberFormat="0" applyBorder="0" applyAlignment="0" applyProtection="0"/>
    <xf numFmtId="0" fontId="6" fillId="35" borderId="0" applyNumberFormat="0" applyBorder="0" applyAlignment="0" applyProtection="0"/>
    <xf numFmtId="0" fontId="6" fillId="36" borderId="0" applyNumberFormat="0" applyBorder="0" applyAlignment="0" applyProtection="0"/>
    <xf numFmtId="0" fontId="13" fillId="0" borderId="0"/>
  </cellStyleXfs>
  <cellXfs count="65">
    <xf numFmtId="0" fontId="0" fillId="0" borderId="0" xfId="0"/>
    <xf numFmtId="0" fontId="1" fillId="0" borderId="0" xfId="0" applyFont="1"/>
    <xf numFmtId="0" fontId="0" fillId="0" borderId="0" xfId="0" applyAlignment="1">
      <alignment vertical="center"/>
    </xf>
    <xf numFmtId="0" fontId="0" fillId="0" borderId="0" xfId="0" applyAlignment="1">
      <alignment horizontal="center"/>
    </xf>
    <xf numFmtId="0" fontId="5" fillId="5" borderId="1" xfId="0" applyFont="1" applyFill="1" applyBorder="1" applyAlignment="1">
      <alignment horizontal="center" vertical="center" wrapText="1"/>
    </xf>
    <xf numFmtId="0" fontId="9" fillId="0" borderId="0" xfId="0" applyFont="1"/>
    <xf numFmtId="0" fontId="10" fillId="0" borderId="0" xfId="1" applyFont="1" applyAlignment="1" applyProtection="1"/>
    <xf numFmtId="0" fontId="3" fillId="0" borderId="2" xfId="0" applyFont="1" applyBorder="1" applyAlignment="1">
      <alignment horizontal="center" vertical="center"/>
    </xf>
    <xf numFmtId="0" fontId="11" fillId="0" borderId="0" xfId="3"/>
    <xf numFmtId="0" fontId="11" fillId="0" borderId="0" xfId="0" applyFont="1" applyAlignment="1">
      <alignment horizontal="center"/>
    </xf>
    <xf numFmtId="0" fontId="0" fillId="0" borderId="10" xfId="0" applyBorder="1"/>
    <xf numFmtId="0" fontId="12" fillId="0" borderId="0" xfId="0" applyFont="1"/>
    <xf numFmtId="0" fontId="13" fillId="0" borderId="0" xfId="1" applyFont="1" applyProtection="1">
      <alignment vertical="top"/>
    </xf>
    <xf numFmtId="0" fontId="26" fillId="0" borderId="0" xfId="0" applyFont="1"/>
    <xf numFmtId="0" fontId="27" fillId="0" borderId="0" xfId="5" applyFont="1" applyAlignment="1">
      <alignment horizontal="left"/>
    </xf>
    <xf numFmtId="0" fontId="28" fillId="0" borderId="0" xfId="6" applyFont="1"/>
    <xf numFmtId="0" fontId="28" fillId="0" borderId="0" xfId="7" applyFont="1">
      <alignment vertical="top"/>
    </xf>
    <xf numFmtId="167" fontId="30" fillId="3" borderId="6" xfId="0" applyNumberFormat="1" applyFont="1" applyFill="1" applyBorder="1" applyAlignment="1">
      <alignment horizontal="center" vertical="center"/>
    </xf>
    <xf numFmtId="167" fontId="30" fillId="3" borderId="0" xfId="0" applyNumberFormat="1" applyFont="1" applyFill="1" applyAlignment="1">
      <alignment horizontal="center" vertical="center"/>
    </xf>
    <xf numFmtId="167" fontId="30" fillId="3" borderId="7" xfId="0" applyNumberFormat="1" applyFont="1" applyFill="1" applyBorder="1" applyAlignment="1">
      <alignment horizontal="center" vertical="center"/>
    </xf>
    <xf numFmtId="0" fontId="31" fillId="5" borderId="1" xfId="0" applyFont="1" applyFill="1" applyBorder="1" applyAlignment="1">
      <alignment horizontal="center" vertical="center" wrapText="1"/>
    </xf>
    <xf numFmtId="0" fontId="32" fillId="4" borderId="8" xfId="0" applyFont="1" applyFill="1" applyBorder="1" applyAlignment="1">
      <alignment horizontal="center" vertical="center" shrinkToFit="1"/>
    </xf>
    <xf numFmtId="0" fontId="26" fillId="0" borderId="9" xfId="0" applyFont="1" applyBorder="1" applyAlignment="1">
      <alignment vertical="center"/>
    </xf>
    <xf numFmtId="0" fontId="29" fillId="0" borderId="2" xfId="0" applyFont="1" applyBorder="1" applyAlignment="1">
      <alignment horizontal="center" vertical="center"/>
    </xf>
    <xf numFmtId="0" fontId="26" fillId="0" borderId="9" xfId="0" applyFont="1" applyBorder="1" applyAlignment="1">
      <alignment horizontal="right" vertical="center"/>
    </xf>
    <xf numFmtId="0" fontId="31" fillId="5" borderId="1" xfId="0" applyFont="1" applyFill="1" applyBorder="1" applyAlignment="1">
      <alignment horizontal="left" vertical="center" indent="1"/>
    </xf>
    <xf numFmtId="0" fontId="33" fillId="0" borderId="0" xfId="3" applyFont="1" applyAlignment="1">
      <alignment wrapText="1"/>
    </xf>
    <xf numFmtId="0" fontId="34" fillId="0" borderId="0" xfId="0" applyFont="1" applyAlignment="1">
      <alignment horizontal="left"/>
    </xf>
    <xf numFmtId="0" fontId="30" fillId="0" borderId="0" xfId="0" applyFont="1"/>
    <xf numFmtId="0" fontId="30" fillId="0" borderId="0" xfId="0" applyFont="1" applyAlignment="1">
      <alignment horizontal="center"/>
    </xf>
    <xf numFmtId="0" fontId="30" fillId="0" borderId="0" xfId="0" applyFont="1" applyAlignment="1">
      <alignment horizontal="center" vertical="center"/>
    </xf>
    <xf numFmtId="0" fontId="33" fillId="0" borderId="0" xfId="3" applyFont="1"/>
    <xf numFmtId="0" fontId="35" fillId="0" borderId="0" xfId="0" applyFont="1"/>
    <xf numFmtId="0" fontId="35" fillId="0" borderId="0" xfId="0" applyFont="1" applyAlignment="1">
      <alignment horizontal="center"/>
    </xf>
    <xf numFmtId="0" fontId="35" fillId="0" borderId="3" xfId="0" applyFont="1" applyBorder="1" applyAlignment="1">
      <alignment horizontal="center" vertical="center"/>
    </xf>
    <xf numFmtId="0" fontId="35" fillId="0" borderId="10" xfId="0" applyFont="1" applyBorder="1"/>
    <xf numFmtId="0" fontId="35" fillId="0" borderId="0" xfId="0" applyFont="1" applyAlignment="1">
      <alignment wrapText="1"/>
    </xf>
    <xf numFmtId="0" fontId="35" fillId="2" borderId="2" xfId="11" applyFont="1" applyFill="1">
      <alignment horizontal="center" vertical="center"/>
    </xf>
    <xf numFmtId="9" fontId="30" fillId="2" borderId="2" xfId="2" applyFont="1" applyFill="1" applyBorder="1" applyAlignment="1">
      <alignment horizontal="center" vertical="center"/>
    </xf>
    <xf numFmtId="0" fontId="35" fillId="2" borderId="2" xfId="12" applyFont="1" applyFill="1">
      <alignment horizontal="left" vertical="center" indent="2"/>
    </xf>
    <xf numFmtId="165" fontId="35" fillId="2" borderId="2" xfId="10" applyFont="1" applyFill="1">
      <alignment horizontal="center" vertical="center"/>
    </xf>
    <xf numFmtId="0" fontId="36" fillId="3" borderId="0" xfId="0" applyFont="1" applyFill="1" applyAlignment="1">
      <alignment vertical="center"/>
    </xf>
    <xf numFmtId="0" fontId="35" fillId="3" borderId="0" xfId="0" applyFont="1" applyFill="1" applyAlignment="1">
      <alignment vertical="center" wrapText="1"/>
    </xf>
    <xf numFmtId="0" fontId="35" fillId="3" borderId="0" xfId="0" applyFont="1" applyFill="1" applyAlignment="1">
      <alignment vertical="center"/>
    </xf>
    <xf numFmtId="0" fontId="0" fillId="3" borderId="0" xfId="0" applyFill="1" applyAlignment="1">
      <alignment vertical="center"/>
    </xf>
    <xf numFmtId="44" fontId="35" fillId="2" borderId="2" xfId="15" applyFont="1" applyFill="1" applyBorder="1" applyAlignment="1">
      <alignment horizontal="center" vertical="center"/>
    </xf>
    <xf numFmtId="0" fontId="34" fillId="0" borderId="0" xfId="0" applyFont="1" applyAlignment="1">
      <alignment horizontal="center"/>
    </xf>
    <xf numFmtId="0" fontId="35" fillId="0" borderId="10" xfId="0" applyFont="1" applyBorder="1" applyAlignment="1">
      <alignment horizontal="center"/>
    </xf>
    <xf numFmtId="0" fontId="35" fillId="0" borderId="0" xfId="0" applyFont="1" applyAlignment="1">
      <alignment horizontal="center" wrapText="1"/>
    </xf>
    <xf numFmtId="0" fontId="35" fillId="3" borderId="0" xfId="0" applyFont="1" applyFill="1" applyAlignment="1">
      <alignment horizontal="center" vertical="center" wrapText="1"/>
    </xf>
    <xf numFmtId="169" fontId="35" fillId="2" borderId="2" xfId="15" applyNumberFormat="1" applyFont="1" applyFill="1" applyBorder="1" applyAlignment="1">
      <alignment horizontal="center" vertical="center"/>
    </xf>
    <xf numFmtId="0" fontId="36" fillId="0" borderId="3" xfId="0" applyFont="1" applyBorder="1" applyAlignment="1">
      <alignment horizontal="center" vertical="center"/>
    </xf>
    <xf numFmtId="0" fontId="36" fillId="0" borderId="0" xfId="0" applyFont="1"/>
    <xf numFmtId="166" fontId="26" fillId="3" borderId="4" xfId="0" applyNumberFormat="1" applyFont="1" applyFill="1" applyBorder="1" applyAlignment="1">
      <alignment horizontal="left" vertical="center" wrapText="1" indent="1"/>
    </xf>
    <xf numFmtId="166" fontId="26" fillId="3" borderId="1" xfId="0" applyNumberFormat="1" applyFont="1" applyFill="1" applyBorder="1" applyAlignment="1">
      <alignment horizontal="left" vertical="center" wrapText="1" indent="1"/>
    </xf>
    <xf numFmtId="166" fontId="26" fillId="3" borderId="5" xfId="0" applyNumberFormat="1" applyFont="1" applyFill="1" applyBorder="1" applyAlignment="1">
      <alignment horizontal="left" vertical="center" wrapText="1" indent="1"/>
    </xf>
    <xf numFmtId="0" fontId="35" fillId="0" borderId="0" xfId="8" applyFont="1">
      <alignment horizontal="right" indent="1"/>
    </xf>
    <xf numFmtId="0" fontId="35" fillId="0" borderId="7" xfId="8" applyFont="1" applyBorder="1">
      <alignment horizontal="right" indent="1"/>
    </xf>
    <xf numFmtId="168" fontId="35" fillId="0" borderId="17" xfId="9" applyFont="1" applyBorder="1">
      <alignment horizontal="center" vertical="center"/>
    </xf>
    <xf numFmtId="168" fontId="35" fillId="0" borderId="18" xfId="9" applyFont="1" applyBorder="1">
      <alignment horizontal="center" vertical="center"/>
    </xf>
    <xf numFmtId="0" fontId="36" fillId="0" borderId="0" xfId="8" applyFont="1">
      <alignment horizontal="right" indent="1"/>
    </xf>
    <xf numFmtId="0" fontId="36" fillId="0" borderId="7" xfId="8" applyFont="1" applyBorder="1">
      <alignment horizontal="right" indent="1"/>
    </xf>
    <xf numFmtId="168" fontId="36" fillId="0" borderId="17" xfId="9" applyFont="1" applyBorder="1">
      <alignment horizontal="center" vertical="center"/>
    </xf>
    <xf numFmtId="168" fontId="36" fillId="0" borderId="18" xfId="9" applyFont="1" applyBorder="1">
      <alignment horizontal="center" vertical="center"/>
    </xf>
    <xf numFmtId="9" fontId="35" fillId="2" borderId="2" xfId="15" applyNumberFormat="1" applyFont="1" applyFill="1" applyBorder="1" applyAlignment="1">
      <alignment horizontal="center" vertical="center"/>
    </xf>
  </cellXfs>
  <cellStyles count="55">
    <cellStyle name="20% - Ênfase1" xfId="31" builtinId="30" customBuiltin="1"/>
    <cellStyle name="20% - Ênfase2" xfId="35" builtinId="34" customBuiltin="1"/>
    <cellStyle name="20% - Ênfase3" xfId="39" builtinId="38" customBuiltin="1"/>
    <cellStyle name="20% - Ênfase4" xfId="43" builtinId="42" customBuiltin="1"/>
    <cellStyle name="20% - Ênfase5" xfId="47" builtinId="46" customBuiltin="1"/>
    <cellStyle name="20% - Ênfase6" xfId="51" builtinId="50" customBuiltin="1"/>
    <cellStyle name="40% - Ênfase1" xfId="32" builtinId="31" customBuiltin="1"/>
    <cellStyle name="40% - Ênfase2" xfId="36" builtinId="35" customBuiltin="1"/>
    <cellStyle name="40% - Ênfase3" xfId="40" builtinId="39" customBuiltin="1"/>
    <cellStyle name="40% - Ênfase4" xfId="44" builtinId="43" customBuiltin="1"/>
    <cellStyle name="40% - Ênfase5" xfId="48" builtinId="47" customBuiltin="1"/>
    <cellStyle name="40% - Ênfase6" xfId="52" builtinId="51" customBuiltin="1"/>
    <cellStyle name="60% - Ênfase1" xfId="33" builtinId="32" customBuiltin="1"/>
    <cellStyle name="60% - Ênfase2" xfId="37" builtinId="36" customBuiltin="1"/>
    <cellStyle name="60% - Ênfase3" xfId="41" builtinId="40" customBuiltin="1"/>
    <cellStyle name="60% - Ênfase4" xfId="45" builtinId="44" customBuiltin="1"/>
    <cellStyle name="60% - Ênfase5" xfId="49" builtinId="48" customBuiltin="1"/>
    <cellStyle name="60% - Ênfase6" xfId="53" builtinId="52" customBuiltin="1"/>
    <cellStyle name="Bom" xfId="18" builtinId="26" customBuiltin="1"/>
    <cellStyle name="Cálculo" xfId="23" builtinId="22" customBuiltin="1"/>
    <cellStyle name="Célula de Verificação" xfId="25" builtinId="23" customBuiltin="1"/>
    <cellStyle name="Célula Vinculada" xfId="24" builtinId="24" customBuiltin="1"/>
    <cellStyle name="Data" xfId="10" xr:uid="{229918B6-DD13-4F5A-97B9-305F7E002AA3}"/>
    <cellStyle name="Ênfase1" xfId="30" builtinId="29" customBuiltin="1"/>
    <cellStyle name="Ênfase2" xfId="34" builtinId="33" customBuiltin="1"/>
    <cellStyle name="Ênfase3" xfId="38" builtinId="37" customBuiltin="1"/>
    <cellStyle name="Ênfase4" xfId="42" builtinId="41" customBuiltin="1"/>
    <cellStyle name="Ênfase5" xfId="46" builtinId="45" customBuiltin="1"/>
    <cellStyle name="Ênfase6" xfId="50" builtinId="49" customBuiltin="1"/>
    <cellStyle name="Entrada" xfId="21" builtinId="20" customBuiltin="1"/>
    <cellStyle name="Hiperlink" xfId="1" builtinId="8" customBuiltin="1"/>
    <cellStyle name="Hiperlink Visitado" xfId="13" builtinId="9" customBuiltin="1"/>
    <cellStyle name="Início do Projeto" xfId="9" xr:uid="{8EB8A09A-C31C-40A3-B2C1-9449520178B8}"/>
    <cellStyle name="Moeda" xfId="15" builtinId="4" customBuiltin="1"/>
    <cellStyle name="Moeda [0]" xfId="16" builtinId="7" customBuiltin="1"/>
    <cellStyle name="Neutro" xfId="20" builtinId="28" customBuiltin="1"/>
    <cellStyle name="Nome" xfId="11" xr:uid="{B2D3C1EE-6B41-4801-AAFC-C2274E49E503}"/>
    <cellStyle name="Normal" xfId="0" builtinId="0" customBuiltin="1"/>
    <cellStyle name="Normal 2" xfId="54" xr:uid="{428C5D58-1993-4F04-8B8E-9E5DD821753F}"/>
    <cellStyle name="Nota" xfId="27" builtinId="10" customBuiltin="1"/>
    <cellStyle name="Porcentagem" xfId="2" builtinId="5" customBuiltin="1"/>
    <cellStyle name="Ruim" xfId="19" builtinId="27" customBuiltin="1"/>
    <cellStyle name="Saída" xfId="22" builtinId="21" customBuiltin="1"/>
    <cellStyle name="Separador de milhares [0]" xfId="14" builtinId="6" customBuiltin="1"/>
    <cellStyle name="Tarefa" xfId="12" xr:uid="{6391D789-272B-4DD2-9BF3-2CDCF610FA41}"/>
    <cellStyle name="Texto de Aviso" xfId="26" builtinId="11" customBuiltin="1"/>
    <cellStyle name="Texto Explicativo" xfId="28" builtinId="53" customBuiltin="1"/>
    <cellStyle name="Título" xfId="5" builtinId="15" customBuiltin="1"/>
    <cellStyle name="Título 1" xfId="6" builtinId="16" customBuiltin="1"/>
    <cellStyle name="Título 2" xfId="7" builtinId="17" customBuiltin="1"/>
    <cellStyle name="Título 3" xfId="8" builtinId="18" customBuiltin="1"/>
    <cellStyle name="Título 4" xfId="17" builtinId="19" customBuiltin="1"/>
    <cellStyle name="Total" xfId="29" builtinId="25" customBuiltin="1"/>
    <cellStyle name="Vírgula" xfId="4" builtinId="3" customBuiltin="1"/>
    <cellStyle name="zTextoOculto" xfId="3" xr:uid="{26E66EE6-E33F-4D77-BAE4-0FB4F5BBF673}"/>
  </cellStyles>
  <dxfs count="15">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ListaDeTarefasPendentes" pivot="0" count="9" xr9:uid="{00000000-0011-0000-FFFF-FFFF00000000}">
      <tableStyleElement type="wholeTable" dxfId="14"/>
      <tableStyleElement type="headerRow" dxfId="13"/>
      <tableStyleElement type="totalRow" dxfId="12"/>
      <tableStyleElement type="firstColumn" dxfId="11"/>
      <tableStyleElement type="lastColumn" dxfId="10"/>
      <tableStyleElement type="firstRowStripe" dxfId="9"/>
      <tableStyleElement type="secondRowStripe" dxfId="8"/>
      <tableStyleElement type="firstColumnStripe" dxfId="7"/>
      <tableStyleElement type="secondColumnStripe" dxfId="6"/>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276225</xdr:colOff>
      <xdr:row>0</xdr:row>
      <xdr:rowOff>104775</xdr:rowOff>
    </xdr:from>
    <xdr:to>
      <xdr:col>6</xdr:col>
      <xdr:colOff>666750</xdr:colOff>
      <xdr:row>1</xdr:row>
      <xdr:rowOff>76200</xdr:rowOff>
    </xdr:to>
    <xdr:pic>
      <xdr:nvPicPr>
        <xdr:cNvPr id="2" name="Imagem 1" descr="Diretoria de Ensino – Região Centro Sul – Rua Dom Antonio Galvão, nº 95 –  Bairro Vila Gumercindo">
          <a:extLst>
            <a:ext uri="{FF2B5EF4-FFF2-40B4-BE49-F238E27FC236}">
              <a16:creationId xmlns:a16="http://schemas.microsoft.com/office/drawing/2014/main" id="{DA1FCA8D-14EB-4B06-851F-47E898120DD6}"/>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402" t="24095" r="9828" b="26377"/>
        <a:stretch/>
      </xdr:blipFill>
      <xdr:spPr bwMode="auto">
        <a:xfrm>
          <a:off x="4876800" y="104775"/>
          <a:ext cx="1800225" cy="352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28575</xdr:colOff>
      <xdr:row>2</xdr:row>
      <xdr:rowOff>295275</xdr:rowOff>
    </xdr:from>
    <xdr:to>
      <xdr:col>1</xdr:col>
      <xdr:colOff>1828800</xdr:colOff>
      <xdr:row>3</xdr:row>
      <xdr:rowOff>333375</xdr:rowOff>
    </xdr:to>
    <xdr:pic>
      <xdr:nvPicPr>
        <xdr:cNvPr id="2" name="Imagem 1" descr="Diretoria de Ensino – Região Centro Sul – Rua Dom Antonio Galvão, nº 95 –  Bairro Vila Gumercindo">
          <a:extLst>
            <a:ext uri="{FF2B5EF4-FFF2-40B4-BE49-F238E27FC236}">
              <a16:creationId xmlns:a16="http://schemas.microsoft.com/office/drawing/2014/main" id="{6BF0A292-5A2D-4F24-893C-C4CB55259F4A}"/>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402" t="24095" r="9828" b="26377"/>
        <a:stretch/>
      </xdr:blipFill>
      <xdr:spPr bwMode="auto">
        <a:xfrm>
          <a:off x="209550" y="971550"/>
          <a:ext cx="1800225" cy="352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1" dT="2024-11-12T19:31:24.96" personId="{00000000-0000-0000-0000-000000000000}" id="{B1953FBC-D32C-421B-B70A-4DEB942E95FB}">
    <text>SEM DA</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DA003-E4C0-4654-AD2C-158EFEA4AF92}">
  <sheetPr>
    <pageSetUpPr fitToPage="1"/>
  </sheetPr>
  <dimension ref="A1:BM17"/>
  <sheetViews>
    <sheetView showGridLines="0" tabSelected="1" showRuler="0" zoomScaleNormal="100" zoomScalePageLayoutView="70" workbookViewId="0">
      <pane ySplit="6" topLeftCell="A13" activePane="bottomLeft" state="frozen"/>
      <selection pane="bottomLeft" activeCell="H17" sqref="H17"/>
    </sheetView>
  </sheetViews>
  <sheetFormatPr defaultRowHeight="30" customHeight="1" x14ac:dyDescent="0.35"/>
  <cols>
    <col min="1" max="1" width="2.7265625" style="8" customWidth="1"/>
    <col min="2" max="2" width="19.81640625" customWidth="1"/>
    <col min="3" max="3" width="30.7265625" customWidth="1"/>
    <col min="4" max="4" width="15.7265625" customWidth="1"/>
    <col min="5" max="5" width="10.7265625" customWidth="1"/>
    <col min="6" max="6" width="10.36328125" style="3" customWidth="1"/>
    <col min="7" max="7" width="10.36328125" customWidth="1"/>
    <col min="8" max="8" width="2.7265625" customWidth="1"/>
    <col min="9" max="9" width="6.08984375" hidden="1" customWidth="1"/>
    <col min="10" max="65" width="2.6328125" customWidth="1"/>
  </cols>
  <sheetData>
    <row r="1" spans="1:65" ht="30" customHeight="1" x14ac:dyDescent="1.1499999999999999">
      <c r="A1" s="26" t="s">
        <v>0</v>
      </c>
      <c r="B1" s="14" t="s">
        <v>50</v>
      </c>
      <c r="C1" s="27"/>
      <c r="D1" s="27"/>
      <c r="E1" s="28"/>
      <c r="F1" s="29"/>
      <c r="G1" s="30"/>
      <c r="I1" s="1"/>
      <c r="J1" s="11"/>
    </row>
    <row r="2" spans="1:65" ht="23.25" customHeight="1" x14ac:dyDescent="0.95">
      <c r="A2" s="31" t="s">
        <v>1</v>
      </c>
      <c r="B2" s="15" t="s">
        <v>51</v>
      </c>
      <c r="C2" s="32"/>
      <c r="D2" s="32"/>
      <c r="E2" s="32"/>
      <c r="F2" s="33"/>
      <c r="G2" s="32"/>
      <c r="J2" s="12"/>
    </row>
    <row r="3" spans="1:65" ht="24.75" customHeight="1" x14ac:dyDescent="0.7">
      <c r="A3" s="31" t="s">
        <v>2</v>
      </c>
      <c r="B3" s="16" t="s">
        <v>52</v>
      </c>
      <c r="C3" s="56" t="s">
        <v>3</v>
      </c>
      <c r="D3" s="56"/>
      <c r="E3" s="57"/>
      <c r="F3" s="58">
        <f ca="1">TODAY()</f>
        <v>46119</v>
      </c>
      <c r="G3" s="59"/>
    </row>
    <row r="4" spans="1:65" ht="27.75" customHeight="1" x14ac:dyDescent="0.9">
      <c r="A4" s="26" t="s">
        <v>4</v>
      </c>
      <c r="B4" s="32" t="s">
        <v>53</v>
      </c>
      <c r="C4" s="56" t="s">
        <v>5</v>
      </c>
      <c r="D4" s="56"/>
      <c r="E4" s="57"/>
      <c r="F4" s="34">
        <v>1</v>
      </c>
      <c r="G4" s="32"/>
      <c r="I4" s="13"/>
      <c r="J4" s="53">
        <f ca="1">J5</f>
        <v>46118</v>
      </c>
      <c r="K4" s="54"/>
      <c r="L4" s="54"/>
      <c r="M4" s="54"/>
      <c r="N4" s="54"/>
      <c r="O4" s="54"/>
      <c r="P4" s="55"/>
      <c r="Q4" s="53">
        <f ca="1">Q5</f>
        <v>46125</v>
      </c>
      <c r="R4" s="54"/>
      <c r="S4" s="54"/>
      <c r="T4" s="54"/>
      <c r="U4" s="54"/>
      <c r="V4" s="54"/>
      <c r="W4" s="55"/>
      <c r="X4" s="53">
        <f ca="1">X5</f>
        <v>46132</v>
      </c>
      <c r="Y4" s="54"/>
      <c r="Z4" s="54"/>
      <c r="AA4" s="54"/>
      <c r="AB4" s="54"/>
      <c r="AC4" s="54"/>
      <c r="AD4" s="55"/>
      <c r="AE4" s="53">
        <f ca="1">AE5</f>
        <v>46139</v>
      </c>
      <c r="AF4" s="54"/>
      <c r="AG4" s="54"/>
      <c r="AH4" s="54"/>
      <c r="AI4" s="54"/>
      <c r="AJ4" s="54"/>
      <c r="AK4" s="55"/>
      <c r="AL4" s="53">
        <f ca="1">AL5</f>
        <v>46146</v>
      </c>
      <c r="AM4" s="54"/>
      <c r="AN4" s="54"/>
      <c r="AO4" s="54"/>
      <c r="AP4" s="54"/>
      <c r="AQ4" s="54"/>
      <c r="AR4" s="55"/>
      <c r="AS4" s="53">
        <f ca="1">AS5</f>
        <v>46153</v>
      </c>
      <c r="AT4" s="54"/>
      <c r="AU4" s="54"/>
      <c r="AV4" s="54"/>
      <c r="AW4" s="54"/>
      <c r="AX4" s="54"/>
      <c r="AY4" s="55"/>
      <c r="AZ4" s="53">
        <f ca="1">AZ5</f>
        <v>46160</v>
      </c>
      <c r="BA4" s="54"/>
      <c r="BB4" s="54"/>
      <c r="BC4" s="54"/>
      <c r="BD4" s="54"/>
      <c r="BE4" s="54"/>
      <c r="BF4" s="55"/>
      <c r="BG4" s="53">
        <f ca="1">BG5</f>
        <v>46167</v>
      </c>
      <c r="BH4" s="54"/>
      <c r="BI4" s="54"/>
      <c r="BJ4" s="54"/>
      <c r="BK4" s="54"/>
      <c r="BL4" s="54"/>
      <c r="BM4" s="55"/>
    </row>
    <row r="5" spans="1:65" ht="13.5" customHeight="1" x14ac:dyDescent="0.9">
      <c r="A5" s="26" t="s">
        <v>6</v>
      </c>
      <c r="B5" s="35"/>
      <c r="C5" s="35"/>
      <c r="D5" s="35"/>
      <c r="E5" s="35"/>
      <c r="F5" s="35"/>
      <c r="G5" s="35"/>
      <c r="H5" s="10"/>
      <c r="I5" s="13"/>
      <c r="J5" s="17">
        <f ca="1">Início_do_projeto-WEEKDAY(Início_do_projeto,1)+2+7*(Semana_de_exibição-1)</f>
        <v>46118</v>
      </c>
      <c r="K5" s="18">
        <f ca="1">J5+1</f>
        <v>46119</v>
      </c>
      <c r="L5" s="18">
        <f t="shared" ref="L5:AY5" ca="1" si="0">K5+1</f>
        <v>46120</v>
      </c>
      <c r="M5" s="18">
        <f t="shared" ca="1" si="0"/>
        <v>46121</v>
      </c>
      <c r="N5" s="18">
        <f t="shared" ca="1" si="0"/>
        <v>46122</v>
      </c>
      <c r="O5" s="18">
        <f t="shared" ca="1" si="0"/>
        <v>46123</v>
      </c>
      <c r="P5" s="19">
        <f t="shared" ca="1" si="0"/>
        <v>46124</v>
      </c>
      <c r="Q5" s="17">
        <f ca="1">P5+1</f>
        <v>46125</v>
      </c>
      <c r="R5" s="18">
        <f ca="1">Q5+1</f>
        <v>46126</v>
      </c>
      <c r="S5" s="18">
        <f t="shared" ca="1" si="0"/>
        <v>46127</v>
      </c>
      <c r="T5" s="18">
        <f t="shared" ca="1" si="0"/>
        <v>46128</v>
      </c>
      <c r="U5" s="18">
        <f t="shared" ca="1" si="0"/>
        <v>46129</v>
      </c>
      <c r="V5" s="18">
        <f t="shared" ca="1" si="0"/>
        <v>46130</v>
      </c>
      <c r="W5" s="19">
        <f t="shared" ca="1" si="0"/>
        <v>46131</v>
      </c>
      <c r="X5" s="17">
        <f ca="1">W5+1</f>
        <v>46132</v>
      </c>
      <c r="Y5" s="18">
        <f ca="1">X5+1</f>
        <v>46133</v>
      </c>
      <c r="Z5" s="18">
        <f t="shared" ca="1" si="0"/>
        <v>46134</v>
      </c>
      <c r="AA5" s="18">
        <f t="shared" ca="1" si="0"/>
        <v>46135</v>
      </c>
      <c r="AB5" s="18">
        <f t="shared" ca="1" si="0"/>
        <v>46136</v>
      </c>
      <c r="AC5" s="18">
        <f t="shared" ca="1" si="0"/>
        <v>46137</v>
      </c>
      <c r="AD5" s="19">
        <f t="shared" ca="1" si="0"/>
        <v>46138</v>
      </c>
      <c r="AE5" s="17">
        <f ca="1">AD5+1</f>
        <v>46139</v>
      </c>
      <c r="AF5" s="18">
        <f ca="1">AE5+1</f>
        <v>46140</v>
      </c>
      <c r="AG5" s="18">
        <f t="shared" ca="1" si="0"/>
        <v>46141</v>
      </c>
      <c r="AH5" s="18">
        <f t="shared" ca="1" si="0"/>
        <v>46142</v>
      </c>
      <c r="AI5" s="18">
        <f t="shared" ca="1" si="0"/>
        <v>46143</v>
      </c>
      <c r="AJ5" s="18">
        <f t="shared" ca="1" si="0"/>
        <v>46144</v>
      </c>
      <c r="AK5" s="19">
        <f t="shared" ca="1" si="0"/>
        <v>46145</v>
      </c>
      <c r="AL5" s="17">
        <f ca="1">AK5+1</f>
        <v>46146</v>
      </c>
      <c r="AM5" s="18">
        <f ca="1">AL5+1</f>
        <v>46147</v>
      </c>
      <c r="AN5" s="18">
        <f t="shared" ca="1" si="0"/>
        <v>46148</v>
      </c>
      <c r="AO5" s="18">
        <f t="shared" ca="1" si="0"/>
        <v>46149</v>
      </c>
      <c r="AP5" s="18">
        <f t="shared" ca="1" si="0"/>
        <v>46150</v>
      </c>
      <c r="AQ5" s="18">
        <f t="shared" ca="1" si="0"/>
        <v>46151</v>
      </c>
      <c r="AR5" s="19">
        <f t="shared" ca="1" si="0"/>
        <v>46152</v>
      </c>
      <c r="AS5" s="17">
        <f ca="1">AR5+1</f>
        <v>46153</v>
      </c>
      <c r="AT5" s="18">
        <f ca="1">AS5+1</f>
        <v>46154</v>
      </c>
      <c r="AU5" s="18">
        <f t="shared" ca="1" si="0"/>
        <v>46155</v>
      </c>
      <c r="AV5" s="18">
        <f t="shared" ca="1" si="0"/>
        <v>46156</v>
      </c>
      <c r="AW5" s="18">
        <f t="shared" ca="1" si="0"/>
        <v>46157</v>
      </c>
      <c r="AX5" s="18">
        <f t="shared" ca="1" si="0"/>
        <v>46158</v>
      </c>
      <c r="AY5" s="19">
        <f t="shared" ca="1" si="0"/>
        <v>46159</v>
      </c>
      <c r="AZ5" s="17">
        <f ca="1">AY5+1</f>
        <v>46160</v>
      </c>
      <c r="BA5" s="18">
        <f ca="1">AZ5+1</f>
        <v>46161</v>
      </c>
      <c r="BB5" s="18">
        <f t="shared" ref="BB5:BF5" ca="1" si="1">BA5+1</f>
        <v>46162</v>
      </c>
      <c r="BC5" s="18">
        <f t="shared" ca="1" si="1"/>
        <v>46163</v>
      </c>
      <c r="BD5" s="18">
        <f t="shared" ca="1" si="1"/>
        <v>46164</v>
      </c>
      <c r="BE5" s="18">
        <f t="shared" ca="1" si="1"/>
        <v>46165</v>
      </c>
      <c r="BF5" s="19">
        <f t="shared" ca="1" si="1"/>
        <v>46166</v>
      </c>
      <c r="BG5" s="17">
        <f ca="1">BF5+1</f>
        <v>46167</v>
      </c>
      <c r="BH5" s="18">
        <f ca="1">BG5+1</f>
        <v>46168</v>
      </c>
      <c r="BI5" s="18">
        <f t="shared" ref="BI5:BM5" ca="1" si="2">BH5+1</f>
        <v>46169</v>
      </c>
      <c r="BJ5" s="18">
        <f t="shared" ca="1" si="2"/>
        <v>46170</v>
      </c>
      <c r="BK5" s="18">
        <f t="shared" ca="1" si="2"/>
        <v>46171</v>
      </c>
      <c r="BL5" s="18">
        <f t="shared" ca="1" si="2"/>
        <v>46172</v>
      </c>
      <c r="BM5" s="19">
        <f t="shared" ca="1" si="2"/>
        <v>46173</v>
      </c>
    </row>
    <row r="6" spans="1:65" ht="30" customHeight="1" thickBot="1" x14ac:dyDescent="0.75">
      <c r="A6" s="26" t="s">
        <v>7</v>
      </c>
      <c r="B6" s="25" t="s">
        <v>8</v>
      </c>
      <c r="C6" s="20" t="s">
        <v>9</v>
      </c>
      <c r="D6" s="20" t="s">
        <v>10</v>
      </c>
      <c r="E6" s="20" t="s">
        <v>11</v>
      </c>
      <c r="F6" s="20" t="s">
        <v>12</v>
      </c>
      <c r="G6" s="20" t="s">
        <v>13</v>
      </c>
      <c r="H6" s="4"/>
      <c r="I6" s="20" t="s">
        <v>14</v>
      </c>
      <c r="J6" s="21" t="str">
        <f t="shared" ref="J6:BM6" ca="1" si="3">LEFT(TEXT(J5,"ddd"),1)</f>
        <v>s</v>
      </c>
      <c r="K6" s="21" t="str">
        <f t="shared" ca="1" si="3"/>
        <v>t</v>
      </c>
      <c r="L6" s="21" t="str">
        <f t="shared" ca="1" si="3"/>
        <v>q</v>
      </c>
      <c r="M6" s="21" t="str">
        <f t="shared" ca="1" si="3"/>
        <v>q</v>
      </c>
      <c r="N6" s="21" t="str">
        <f t="shared" ca="1" si="3"/>
        <v>s</v>
      </c>
      <c r="O6" s="21" t="str">
        <f t="shared" ca="1" si="3"/>
        <v>s</v>
      </c>
      <c r="P6" s="21" t="str">
        <f t="shared" ca="1" si="3"/>
        <v>d</v>
      </c>
      <c r="Q6" s="21" t="str">
        <f t="shared" ca="1" si="3"/>
        <v>s</v>
      </c>
      <c r="R6" s="21" t="str">
        <f t="shared" ca="1" si="3"/>
        <v>t</v>
      </c>
      <c r="S6" s="21" t="str">
        <f t="shared" ca="1" si="3"/>
        <v>q</v>
      </c>
      <c r="T6" s="21" t="str">
        <f t="shared" ca="1" si="3"/>
        <v>q</v>
      </c>
      <c r="U6" s="21" t="str">
        <f t="shared" ca="1" si="3"/>
        <v>s</v>
      </c>
      <c r="V6" s="21" t="str">
        <f t="shared" ca="1" si="3"/>
        <v>s</v>
      </c>
      <c r="W6" s="21" t="str">
        <f t="shared" ca="1" si="3"/>
        <v>d</v>
      </c>
      <c r="X6" s="21" t="str">
        <f t="shared" ca="1" si="3"/>
        <v>s</v>
      </c>
      <c r="Y6" s="21" t="str">
        <f t="shared" ca="1" si="3"/>
        <v>t</v>
      </c>
      <c r="Z6" s="21" t="str">
        <f t="shared" ca="1" si="3"/>
        <v>q</v>
      </c>
      <c r="AA6" s="21" t="str">
        <f t="shared" ca="1" si="3"/>
        <v>q</v>
      </c>
      <c r="AB6" s="21" t="str">
        <f t="shared" ca="1" si="3"/>
        <v>s</v>
      </c>
      <c r="AC6" s="21" t="str">
        <f t="shared" ca="1" si="3"/>
        <v>s</v>
      </c>
      <c r="AD6" s="21" t="str">
        <f t="shared" ca="1" si="3"/>
        <v>d</v>
      </c>
      <c r="AE6" s="21" t="str">
        <f t="shared" ca="1" si="3"/>
        <v>s</v>
      </c>
      <c r="AF6" s="21" t="str">
        <f t="shared" ca="1" si="3"/>
        <v>t</v>
      </c>
      <c r="AG6" s="21" t="str">
        <f t="shared" ca="1" si="3"/>
        <v>q</v>
      </c>
      <c r="AH6" s="21" t="str">
        <f t="shared" ca="1" si="3"/>
        <v>q</v>
      </c>
      <c r="AI6" s="21" t="str">
        <f t="shared" ca="1" si="3"/>
        <v>s</v>
      </c>
      <c r="AJ6" s="21" t="str">
        <f t="shared" ca="1" si="3"/>
        <v>s</v>
      </c>
      <c r="AK6" s="21" t="str">
        <f t="shared" ca="1" si="3"/>
        <v>d</v>
      </c>
      <c r="AL6" s="21" t="str">
        <f t="shared" ca="1" si="3"/>
        <v>s</v>
      </c>
      <c r="AM6" s="21" t="str">
        <f t="shared" ca="1" si="3"/>
        <v>t</v>
      </c>
      <c r="AN6" s="21" t="str">
        <f t="shared" ca="1" si="3"/>
        <v>q</v>
      </c>
      <c r="AO6" s="21" t="str">
        <f t="shared" ca="1" si="3"/>
        <v>q</v>
      </c>
      <c r="AP6" s="21" t="str">
        <f t="shared" ca="1" si="3"/>
        <v>s</v>
      </c>
      <c r="AQ6" s="21" t="str">
        <f t="shared" ca="1" si="3"/>
        <v>s</v>
      </c>
      <c r="AR6" s="21" t="str">
        <f t="shared" ca="1" si="3"/>
        <v>d</v>
      </c>
      <c r="AS6" s="21" t="str">
        <f t="shared" ca="1" si="3"/>
        <v>s</v>
      </c>
      <c r="AT6" s="21" t="str">
        <f t="shared" ca="1" si="3"/>
        <v>t</v>
      </c>
      <c r="AU6" s="21" t="str">
        <f t="shared" ca="1" si="3"/>
        <v>q</v>
      </c>
      <c r="AV6" s="21" t="str">
        <f t="shared" ca="1" si="3"/>
        <v>q</v>
      </c>
      <c r="AW6" s="21" t="str">
        <f t="shared" ca="1" si="3"/>
        <v>s</v>
      </c>
      <c r="AX6" s="21" t="str">
        <f t="shared" ca="1" si="3"/>
        <v>s</v>
      </c>
      <c r="AY6" s="21" t="str">
        <f t="shared" ca="1" si="3"/>
        <v>d</v>
      </c>
      <c r="AZ6" s="21" t="str">
        <f t="shared" ca="1" si="3"/>
        <v>s</v>
      </c>
      <c r="BA6" s="21" t="str">
        <f t="shared" ca="1" si="3"/>
        <v>t</v>
      </c>
      <c r="BB6" s="21" t="str">
        <f t="shared" ca="1" si="3"/>
        <v>q</v>
      </c>
      <c r="BC6" s="21" t="str">
        <f t="shared" ca="1" si="3"/>
        <v>q</v>
      </c>
      <c r="BD6" s="21" t="str">
        <f t="shared" ca="1" si="3"/>
        <v>s</v>
      </c>
      <c r="BE6" s="21" t="str">
        <f t="shared" ca="1" si="3"/>
        <v>s</v>
      </c>
      <c r="BF6" s="21" t="str">
        <f t="shared" ca="1" si="3"/>
        <v>d</v>
      </c>
      <c r="BG6" s="21" t="str">
        <f t="shared" ca="1" si="3"/>
        <v>s</v>
      </c>
      <c r="BH6" s="21" t="str">
        <f t="shared" ca="1" si="3"/>
        <v>t</v>
      </c>
      <c r="BI6" s="21" t="str">
        <f t="shared" ca="1" si="3"/>
        <v>q</v>
      </c>
      <c r="BJ6" s="21" t="str">
        <f t="shared" ca="1" si="3"/>
        <v>q</v>
      </c>
      <c r="BK6" s="21" t="str">
        <f t="shared" ca="1" si="3"/>
        <v>s</v>
      </c>
      <c r="BL6" s="21" t="str">
        <f t="shared" ca="1" si="3"/>
        <v>s</v>
      </c>
      <c r="BM6" s="21" t="str">
        <f t="shared" ca="1" si="3"/>
        <v>d</v>
      </c>
    </row>
    <row r="7" spans="1:65" ht="5.15" customHeight="1" thickBot="1" x14ac:dyDescent="0.95">
      <c r="A7" s="31" t="s">
        <v>15</v>
      </c>
      <c r="B7" s="32"/>
      <c r="C7" s="36"/>
      <c r="D7" s="36"/>
      <c r="E7" s="32"/>
      <c r="F7" s="32"/>
      <c r="G7" s="32"/>
      <c r="I7" s="13" t="str">
        <f>IF(OR(ISBLANK(Início_da_tarefa),ISBLANK(Término_da_tarefa)),"",Término_da_tarefa-Início_da_tarefa+1)</f>
        <v/>
      </c>
      <c r="J7" s="22"/>
      <c r="K7" s="22"/>
      <c r="L7" s="22"/>
      <c r="M7" s="22"/>
      <c r="N7" s="22"/>
      <c r="O7" s="22"/>
      <c r="P7" s="22"/>
      <c r="Q7" s="22"/>
      <c r="R7" s="22"/>
      <c r="S7" s="22"/>
      <c r="T7" s="22"/>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c r="AV7" s="22"/>
      <c r="AW7" s="22"/>
      <c r="AX7" s="22"/>
      <c r="AY7" s="22"/>
      <c r="AZ7" s="22"/>
      <c r="BA7" s="22"/>
      <c r="BB7" s="22"/>
      <c r="BC7" s="22"/>
      <c r="BD7" s="22"/>
      <c r="BE7" s="22"/>
      <c r="BF7" s="22"/>
      <c r="BG7" s="22"/>
      <c r="BH7" s="22"/>
      <c r="BI7" s="22"/>
      <c r="BJ7" s="22"/>
      <c r="BK7" s="22"/>
      <c r="BL7" s="22"/>
      <c r="BM7" s="22"/>
    </row>
    <row r="8" spans="1:65" s="2" customFormat="1" ht="30" customHeight="1" thickBot="1" x14ac:dyDescent="0.75">
      <c r="A8" s="26" t="s">
        <v>16</v>
      </c>
      <c r="B8" s="39" t="s">
        <v>56</v>
      </c>
      <c r="C8" s="37" t="s">
        <v>55</v>
      </c>
      <c r="D8" s="45" t="s">
        <v>54</v>
      </c>
      <c r="E8" s="38">
        <v>0.15</v>
      </c>
      <c r="F8" s="40">
        <v>46065</v>
      </c>
      <c r="G8" s="40">
        <v>46336</v>
      </c>
      <c r="H8" s="7"/>
      <c r="I8" s="23">
        <f t="shared" ref="I8:I15" si="4">IF(OR(ISBLANK(Início_da_tarefa),ISBLANK(Término_da_tarefa)),"",Término_da_tarefa-Início_da_tarefa+1)</f>
        <v>272</v>
      </c>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2"/>
      <c r="AN8" s="22"/>
      <c r="AO8" s="22"/>
      <c r="AP8" s="22"/>
      <c r="AQ8" s="22"/>
      <c r="AR8" s="22"/>
      <c r="AS8" s="22"/>
      <c r="AT8" s="22"/>
      <c r="AU8" s="22"/>
      <c r="AV8" s="22"/>
      <c r="AW8" s="22"/>
      <c r="AX8" s="22"/>
      <c r="AY8" s="22"/>
      <c r="AZ8" s="22"/>
      <c r="BA8" s="22"/>
      <c r="BB8" s="22"/>
      <c r="BC8" s="22"/>
      <c r="BD8" s="22"/>
      <c r="BE8" s="22"/>
      <c r="BF8" s="22"/>
      <c r="BG8" s="22"/>
      <c r="BH8" s="22"/>
      <c r="BI8" s="22"/>
      <c r="BJ8" s="22"/>
      <c r="BK8" s="22"/>
      <c r="BL8" s="22"/>
      <c r="BM8" s="22"/>
    </row>
    <row r="9" spans="1:65" s="2" customFormat="1" ht="30" customHeight="1" thickBot="1" x14ac:dyDescent="0.75">
      <c r="A9" s="26" t="s">
        <v>17</v>
      </c>
      <c r="B9" s="39" t="s">
        <v>57</v>
      </c>
      <c r="C9" s="37" t="s">
        <v>58</v>
      </c>
      <c r="D9" s="45" t="s">
        <v>54</v>
      </c>
      <c r="E9" s="38">
        <v>0.9</v>
      </c>
      <c r="F9" s="40">
        <v>46091</v>
      </c>
      <c r="G9" s="40">
        <v>46336</v>
      </c>
      <c r="H9" s="7"/>
      <c r="I9" s="23">
        <f t="shared" si="4"/>
        <v>246</v>
      </c>
      <c r="J9" s="22"/>
      <c r="K9" s="22"/>
      <c r="L9" s="22"/>
      <c r="M9" s="22"/>
      <c r="N9" s="22"/>
      <c r="O9" s="22"/>
      <c r="P9" s="22"/>
      <c r="Q9" s="22"/>
      <c r="R9" s="22"/>
      <c r="S9" s="22"/>
      <c r="T9" s="22"/>
      <c r="U9" s="22"/>
      <c r="V9" s="24"/>
      <c r="W9" s="24"/>
      <c r="X9" s="22"/>
      <c r="Y9" s="22"/>
      <c r="Z9" s="22"/>
      <c r="AA9" s="22"/>
      <c r="AB9" s="22"/>
      <c r="AC9" s="22"/>
      <c r="AD9" s="22"/>
      <c r="AE9" s="22"/>
      <c r="AF9" s="22"/>
      <c r="AG9" s="22"/>
      <c r="AH9" s="22"/>
      <c r="AI9" s="22"/>
      <c r="AJ9" s="22"/>
      <c r="AK9" s="22"/>
      <c r="AL9" s="22"/>
      <c r="AM9" s="22"/>
      <c r="AN9" s="22"/>
      <c r="AO9" s="22"/>
      <c r="AP9" s="22"/>
      <c r="AQ9" s="22"/>
      <c r="AR9" s="22"/>
      <c r="AS9" s="22"/>
      <c r="AT9" s="22"/>
      <c r="AU9" s="22"/>
      <c r="AV9" s="22"/>
      <c r="AW9" s="22"/>
      <c r="AX9" s="22"/>
      <c r="AY9" s="22"/>
      <c r="AZ9" s="22"/>
      <c r="BA9" s="22"/>
      <c r="BB9" s="22"/>
      <c r="BC9" s="22"/>
      <c r="BD9" s="22"/>
      <c r="BE9" s="22"/>
      <c r="BF9" s="22"/>
      <c r="BG9" s="22"/>
      <c r="BH9" s="22"/>
      <c r="BI9" s="22"/>
      <c r="BJ9" s="22"/>
      <c r="BK9" s="22"/>
      <c r="BL9" s="22"/>
      <c r="BM9" s="22"/>
    </row>
    <row r="10" spans="1:65" s="2" customFormat="1" ht="30" customHeight="1" thickBot="1" x14ac:dyDescent="0.75">
      <c r="A10" s="31"/>
      <c r="B10" s="39" t="s">
        <v>59</v>
      </c>
      <c r="C10" s="37" t="s">
        <v>60</v>
      </c>
      <c r="D10" s="45" t="s">
        <v>61</v>
      </c>
      <c r="E10" s="38">
        <v>0.25</v>
      </c>
      <c r="F10" s="40">
        <v>46063</v>
      </c>
      <c r="G10" s="40">
        <v>46336</v>
      </c>
      <c r="H10" s="7"/>
      <c r="I10" s="23">
        <f t="shared" si="4"/>
        <v>274</v>
      </c>
      <c r="J10" s="22"/>
      <c r="K10" s="22"/>
      <c r="L10" s="22"/>
      <c r="M10" s="22"/>
      <c r="N10" s="22"/>
      <c r="O10" s="22"/>
      <c r="P10" s="22"/>
      <c r="Q10" s="22"/>
      <c r="R10" s="22"/>
      <c r="S10" s="22"/>
      <c r="T10" s="22"/>
      <c r="U10" s="22"/>
      <c r="V10" s="22"/>
      <c r="W10" s="22"/>
      <c r="X10" s="22"/>
      <c r="Y10" s="22"/>
      <c r="Z10" s="22"/>
      <c r="AA10" s="22"/>
      <c r="AB10" s="22"/>
      <c r="AC10" s="22"/>
      <c r="AD10" s="22"/>
      <c r="AE10" s="22"/>
      <c r="AF10" s="22"/>
      <c r="AG10" s="22"/>
      <c r="AH10" s="22"/>
      <c r="AI10" s="22"/>
      <c r="AJ10" s="22"/>
      <c r="AK10" s="22"/>
      <c r="AL10" s="22"/>
      <c r="AM10" s="22"/>
      <c r="AN10" s="22"/>
      <c r="AO10" s="22"/>
      <c r="AP10" s="22"/>
      <c r="AQ10" s="22"/>
      <c r="AR10" s="22"/>
      <c r="AS10" s="22"/>
      <c r="AT10" s="22"/>
      <c r="AU10" s="22"/>
      <c r="AV10" s="22"/>
      <c r="AW10" s="22"/>
      <c r="AX10" s="22"/>
      <c r="AY10" s="22"/>
      <c r="AZ10" s="22"/>
      <c r="BA10" s="22"/>
      <c r="BB10" s="22"/>
      <c r="BC10" s="22"/>
      <c r="BD10" s="22"/>
      <c r="BE10" s="22"/>
      <c r="BF10" s="22"/>
      <c r="BG10" s="22"/>
      <c r="BH10" s="22"/>
      <c r="BI10" s="22"/>
      <c r="BJ10" s="22"/>
      <c r="BK10" s="22"/>
      <c r="BL10" s="22"/>
      <c r="BM10" s="22"/>
    </row>
    <row r="11" spans="1:65" s="2" customFormat="1" ht="30" customHeight="1" thickBot="1" x14ac:dyDescent="0.75">
      <c r="A11" s="31"/>
      <c r="B11" s="39" t="s">
        <v>63</v>
      </c>
      <c r="C11" s="37" t="s">
        <v>64</v>
      </c>
      <c r="D11" s="64">
        <v>0</v>
      </c>
      <c r="E11" s="38">
        <v>0.15</v>
      </c>
      <c r="F11" s="40">
        <v>46064</v>
      </c>
      <c r="G11" s="40">
        <v>46337</v>
      </c>
      <c r="H11" s="7"/>
      <c r="I11" s="23">
        <f t="shared" si="4"/>
        <v>274</v>
      </c>
      <c r="J11" s="22"/>
      <c r="K11" s="22"/>
      <c r="L11" s="22"/>
      <c r="M11" s="22"/>
      <c r="N11" s="22"/>
      <c r="O11" s="22"/>
      <c r="P11" s="22"/>
      <c r="Q11" s="22"/>
      <c r="R11" s="22"/>
      <c r="S11" s="22"/>
      <c r="T11" s="22"/>
      <c r="U11" s="22"/>
      <c r="V11" s="22"/>
      <c r="W11" s="22"/>
      <c r="X11" s="22"/>
      <c r="Y11" s="22"/>
      <c r="Z11" s="24"/>
      <c r="AA11" s="22"/>
      <c r="AB11" s="22"/>
      <c r="AC11" s="22"/>
      <c r="AD11" s="22"/>
      <c r="AE11" s="22"/>
      <c r="AF11" s="22"/>
      <c r="AG11" s="22"/>
      <c r="AH11" s="22"/>
      <c r="AI11" s="22"/>
      <c r="AJ11" s="22"/>
      <c r="AK11" s="22"/>
      <c r="AL11" s="22"/>
      <c r="AM11" s="22"/>
      <c r="AN11" s="22"/>
      <c r="AO11" s="22"/>
      <c r="AP11" s="22"/>
      <c r="AQ11" s="22"/>
      <c r="AR11" s="22"/>
      <c r="AS11" s="22"/>
      <c r="AT11" s="22"/>
      <c r="AU11" s="22"/>
      <c r="AV11" s="22"/>
      <c r="AW11" s="22"/>
      <c r="AX11" s="22"/>
      <c r="AY11" s="22"/>
      <c r="AZ11" s="22"/>
      <c r="BA11" s="22"/>
      <c r="BB11" s="22"/>
      <c r="BC11" s="22"/>
      <c r="BD11" s="22"/>
      <c r="BE11" s="22"/>
      <c r="BF11" s="22"/>
      <c r="BG11" s="22"/>
      <c r="BH11" s="22"/>
      <c r="BI11" s="22"/>
      <c r="BJ11" s="22"/>
      <c r="BK11" s="22"/>
      <c r="BL11" s="22"/>
      <c r="BM11" s="22"/>
    </row>
    <row r="12" spans="1:65" s="2" customFormat="1" ht="30" customHeight="1" thickBot="1" x14ac:dyDescent="0.75">
      <c r="A12" s="31"/>
      <c r="B12" s="39" t="s">
        <v>62</v>
      </c>
      <c r="C12" s="37" t="s">
        <v>55</v>
      </c>
      <c r="D12" s="64">
        <v>0.45</v>
      </c>
      <c r="E12" s="38">
        <v>0.1</v>
      </c>
      <c r="F12" s="40">
        <v>46162</v>
      </c>
      <c r="G12" s="40">
        <v>46366</v>
      </c>
      <c r="H12" s="7"/>
      <c r="I12" s="23">
        <f t="shared" si="4"/>
        <v>205</v>
      </c>
      <c r="J12" s="22"/>
      <c r="K12" s="22"/>
      <c r="L12" s="22"/>
      <c r="M12" s="22"/>
      <c r="N12" s="22"/>
      <c r="O12" s="22"/>
      <c r="P12" s="22"/>
      <c r="Q12" s="22"/>
      <c r="R12" s="22"/>
      <c r="S12" s="22"/>
      <c r="T12" s="22"/>
      <c r="U12" s="22"/>
      <c r="V12" s="22"/>
      <c r="W12" s="22"/>
      <c r="X12" s="22"/>
      <c r="Y12" s="22"/>
      <c r="Z12" s="22"/>
      <c r="AA12" s="22"/>
      <c r="AB12" s="22"/>
      <c r="AC12" s="22"/>
      <c r="AD12" s="22"/>
      <c r="AE12" s="22"/>
      <c r="AF12" s="22"/>
      <c r="AG12" s="22"/>
      <c r="AH12" s="22"/>
      <c r="AI12" s="22"/>
      <c r="AJ12" s="22"/>
      <c r="AK12" s="22"/>
      <c r="AL12" s="22"/>
      <c r="AM12" s="22"/>
      <c r="AN12" s="22"/>
      <c r="AO12" s="22"/>
      <c r="AP12" s="22"/>
      <c r="AQ12" s="22"/>
      <c r="AR12" s="22"/>
      <c r="AS12" s="22"/>
      <c r="AT12" s="22"/>
      <c r="AU12" s="22"/>
      <c r="AV12" s="22"/>
      <c r="AW12" s="22"/>
      <c r="AX12" s="22"/>
      <c r="AY12" s="22"/>
      <c r="AZ12" s="22"/>
      <c r="BA12" s="22"/>
      <c r="BB12" s="22"/>
      <c r="BC12" s="22"/>
      <c r="BD12" s="22"/>
      <c r="BE12" s="22"/>
      <c r="BF12" s="22"/>
      <c r="BG12" s="22"/>
      <c r="BH12" s="22"/>
      <c r="BI12" s="22"/>
      <c r="BJ12" s="22"/>
      <c r="BK12" s="22"/>
      <c r="BL12" s="22"/>
      <c r="BM12" s="22"/>
    </row>
    <row r="13" spans="1:65" s="2" customFormat="1" ht="30" customHeight="1" thickBot="1" x14ac:dyDescent="0.75">
      <c r="A13" s="26" t="s">
        <v>18</v>
      </c>
      <c r="B13" s="39" t="s">
        <v>65</v>
      </c>
      <c r="C13" s="37" t="s">
        <v>55</v>
      </c>
      <c r="D13" s="45" t="s">
        <v>61</v>
      </c>
      <c r="E13" s="38">
        <v>0.23</v>
      </c>
      <c r="F13" s="40">
        <v>46163</v>
      </c>
      <c r="G13" s="40">
        <v>46367</v>
      </c>
      <c r="H13" s="7"/>
      <c r="I13" s="23">
        <f t="shared" si="4"/>
        <v>205</v>
      </c>
      <c r="J13" s="22"/>
      <c r="K13" s="22"/>
      <c r="L13" s="22"/>
      <c r="M13" s="22"/>
      <c r="N13" s="22"/>
      <c r="O13" s="22"/>
      <c r="P13" s="22"/>
      <c r="Q13" s="22"/>
      <c r="R13" s="22"/>
      <c r="S13" s="22"/>
      <c r="T13" s="22"/>
      <c r="U13" s="22"/>
      <c r="V13" s="22"/>
      <c r="W13" s="22"/>
      <c r="X13" s="22"/>
      <c r="Y13" s="22"/>
      <c r="Z13" s="22"/>
      <c r="AA13" s="22"/>
      <c r="AB13" s="22"/>
      <c r="AC13" s="22"/>
      <c r="AD13" s="22"/>
      <c r="AE13" s="22"/>
      <c r="AF13" s="22"/>
      <c r="AG13" s="22"/>
      <c r="AH13" s="22"/>
      <c r="AI13" s="22"/>
      <c r="AJ13" s="22"/>
      <c r="AK13" s="22"/>
      <c r="AL13" s="22"/>
      <c r="AM13" s="22"/>
      <c r="AN13" s="22"/>
      <c r="AO13" s="22"/>
      <c r="AP13" s="22"/>
      <c r="AQ13" s="22"/>
      <c r="AR13" s="22"/>
      <c r="AS13" s="22"/>
      <c r="AT13" s="22"/>
      <c r="AU13" s="22"/>
      <c r="AV13" s="22"/>
      <c r="AW13" s="22"/>
      <c r="AX13" s="22"/>
      <c r="AY13" s="22"/>
      <c r="AZ13" s="22"/>
      <c r="BA13" s="22"/>
      <c r="BB13" s="22"/>
      <c r="BC13" s="22"/>
      <c r="BD13" s="22"/>
      <c r="BE13" s="22"/>
      <c r="BF13" s="22"/>
      <c r="BG13" s="22"/>
      <c r="BH13" s="22"/>
      <c r="BI13" s="22"/>
      <c r="BJ13" s="22"/>
      <c r="BK13" s="22"/>
      <c r="BL13" s="22"/>
      <c r="BM13" s="22"/>
    </row>
    <row r="14" spans="1:65" s="2" customFormat="1" ht="30" customHeight="1" thickBot="1" x14ac:dyDescent="0.75">
      <c r="A14" s="26"/>
      <c r="B14" s="39" t="s">
        <v>66</v>
      </c>
      <c r="C14" s="37" t="s">
        <v>67</v>
      </c>
      <c r="D14" s="45" t="s">
        <v>61</v>
      </c>
      <c r="E14" s="38">
        <v>0</v>
      </c>
      <c r="F14" s="40">
        <v>46063</v>
      </c>
      <c r="G14" s="40">
        <v>46336</v>
      </c>
      <c r="H14" s="7"/>
      <c r="I14" s="23">
        <f t="shared" si="4"/>
        <v>274</v>
      </c>
      <c r="J14" s="22"/>
      <c r="K14" s="22"/>
      <c r="L14" s="22"/>
      <c r="M14" s="22"/>
      <c r="N14" s="22"/>
      <c r="O14" s="22"/>
      <c r="P14" s="22"/>
      <c r="Q14" s="22"/>
      <c r="R14" s="22"/>
      <c r="S14" s="22"/>
      <c r="T14" s="22"/>
      <c r="U14" s="22"/>
      <c r="V14" s="22"/>
      <c r="W14" s="22"/>
      <c r="X14" s="22"/>
      <c r="Y14" s="22"/>
      <c r="Z14" s="22"/>
      <c r="AA14" s="22"/>
      <c r="AB14" s="22"/>
      <c r="AC14" s="22"/>
      <c r="AD14" s="22"/>
      <c r="AE14" s="22"/>
      <c r="AF14" s="22"/>
      <c r="AG14" s="22"/>
      <c r="AH14" s="22"/>
      <c r="AI14" s="22"/>
      <c r="AJ14" s="22"/>
      <c r="AK14" s="22"/>
      <c r="AL14" s="22"/>
      <c r="AM14" s="22"/>
      <c r="AN14" s="22"/>
      <c r="AO14" s="22"/>
      <c r="AP14" s="22"/>
      <c r="AQ14" s="22"/>
      <c r="AR14" s="22"/>
      <c r="AS14" s="22"/>
      <c r="AT14" s="22"/>
      <c r="AU14" s="22"/>
      <c r="AV14" s="22"/>
      <c r="AW14" s="22"/>
      <c r="AX14" s="22"/>
      <c r="AY14" s="22"/>
      <c r="AZ14" s="22"/>
      <c r="BA14" s="22"/>
      <c r="BB14" s="22"/>
      <c r="BC14" s="22"/>
      <c r="BD14" s="22"/>
      <c r="BE14" s="22"/>
      <c r="BF14" s="22"/>
      <c r="BG14" s="22"/>
      <c r="BH14" s="22"/>
      <c r="BI14" s="22"/>
      <c r="BJ14" s="22"/>
      <c r="BK14" s="22"/>
      <c r="BL14" s="22"/>
      <c r="BM14" s="22"/>
    </row>
    <row r="15" spans="1:65" s="2" customFormat="1" ht="30" customHeight="1" thickBot="1" x14ac:dyDescent="0.75">
      <c r="A15" s="31"/>
      <c r="B15" s="39" t="s">
        <v>68</v>
      </c>
      <c r="C15" s="37" t="s">
        <v>69</v>
      </c>
      <c r="D15" s="64">
        <v>0.5</v>
      </c>
      <c r="E15" s="38">
        <v>0.15</v>
      </c>
      <c r="F15" s="40">
        <v>46064</v>
      </c>
      <c r="G15" s="40">
        <v>46337</v>
      </c>
      <c r="H15" s="7"/>
      <c r="I15" s="23">
        <f t="shared" si="4"/>
        <v>274</v>
      </c>
      <c r="J15" s="22"/>
      <c r="K15" s="22"/>
      <c r="L15" s="22"/>
      <c r="M15" s="22"/>
      <c r="N15" s="22"/>
      <c r="O15" s="22"/>
      <c r="P15" s="22"/>
      <c r="Q15" s="22"/>
      <c r="R15" s="22"/>
      <c r="S15" s="22"/>
      <c r="T15" s="22"/>
      <c r="U15" s="22"/>
      <c r="V15" s="24"/>
      <c r="W15" s="24"/>
      <c r="X15" s="22"/>
      <c r="Y15" s="22"/>
      <c r="Z15" s="22"/>
      <c r="AA15" s="22"/>
      <c r="AB15" s="22"/>
      <c r="AC15" s="22"/>
      <c r="AD15" s="22"/>
      <c r="AE15" s="22"/>
      <c r="AF15" s="22"/>
      <c r="AG15" s="22"/>
      <c r="AH15" s="22"/>
      <c r="AI15" s="22"/>
      <c r="AJ15" s="22"/>
      <c r="AK15" s="22"/>
      <c r="AL15" s="22"/>
      <c r="AM15" s="22"/>
      <c r="AN15" s="22"/>
      <c r="AO15" s="22"/>
      <c r="AP15" s="22"/>
      <c r="AQ15" s="22"/>
      <c r="AR15" s="22"/>
      <c r="AS15" s="22"/>
      <c r="AT15" s="22"/>
      <c r="AU15" s="22"/>
      <c r="AV15" s="22"/>
      <c r="AW15" s="22"/>
      <c r="AX15" s="22"/>
      <c r="AY15" s="22"/>
      <c r="AZ15" s="22"/>
      <c r="BA15" s="22"/>
      <c r="BB15" s="22"/>
      <c r="BC15" s="22"/>
      <c r="BD15" s="22"/>
      <c r="BE15" s="22"/>
      <c r="BF15" s="22"/>
      <c r="BG15" s="22"/>
      <c r="BH15" s="22"/>
      <c r="BI15" s="22"/>
      <c r="BJ15" s="22"/>
      <c r="BK15" s="22"/>
      <c r="BL15" s="22"/>
      <c r="BM15" s="22"/>
    </row>
    <row r="16" spans="1:65" ht="30" customHeight="1" x14ac:dyDescent="0.35">
      <c r="C16" s="5"/>
      <c r="D16" s="5"/>
      <c r="G16" s="9"/>
    </row>
    <row r="17" spans="3:4" ht="30" customHeight="1" x14ac:dyDescent="0.35">
      <c r="C17" s="6"/>
      <c r="D17" s="6"/>
    </row>
  </sheetData>
  <mergeCells count="11">
    <mergeCell ref="AE4:AK4"/>
    <mergeCell ref="AL4:AR4"/>
    <mergeCell ref="AS4:AY4"/>
    <mergeCell ref="AZ4:BF4"/>
    <mergeCell ref="BG4:BM4"/>
    <mergeCell ref="X4:AD4"/>
    <mergeCell ref="C3:E3"/>
    <mergeCell ref="F3:G3"/>
    <mergeCell ref="C4:E4"/>
    <mergeCell ref="J4:P4"/>
    <mergeCell ref="Q4:W4"/>
  </mergeCells>
  <conditionalFormatting sqref="E7:E15">
    <cfRule type="dataBar" priority="1">
      <dataBar>
        <cfvo type="num" val="0"/>
        <cfvo type="num" val="1"/>
        <color theme="0" tint="-0.249977111117893"/>
      </dataBar>
      <extLst>
        <ext xmlns:x14="http://schemas.microsoft.com/office/spreadsheetml/2009/9/main" uri="{B025F937-C7B1-47D3-B67F-A62EFF666E3E}">
          <x14:id>{A8D3A74B-885D-4EEA-B026-80DC206F7EF0}</x14:id>
        </ext>
      </extLst>
    </cfRule>
  </conditionalFormatting>
  <conditionalFormatting sqref="J5:BM15">
    <cfRule type="expression" dxfId="5" priority="4">
      <formula>AND(TODAY()&gt;=J$5,TODAY()&lt;K$5)</formula>
    </cfRule>
  </conditionalFormatting>
  <conditionalFormatting sqref="J7:BM15">
    <cfRule type="expression" dxfId="4" priority="2">
      <formula>AND(Início_da_tarefa&lt;=J$5,ROUNDDOWN((Término_da_tarefa-Início_da_tarefa+1)*Progresso_da_tarefa,0)+Início_da_tarefa-1&gt;=J$5)</formula>
    </cfRule>
    <cfRule type="expression" dxfId="3" priority="3" stopIfTrue="1">
      <formula>AND(Término_da_tarefa&gt;=J$5,Início_da_tarefa&lt;K$5)</formula>
    </cfRule>
  </conditionalFormatting>
  <dataValidations count="1">
    <dataValidation type="whole" operator="greaterThanOrEqual" allowBlank="1" showInputMessage="1" promptTitle="Semana de exibição" prompt="Alterar esse número rola a exibição do Gráfico de Gantt." sqref="F4" xr:uid="{B9331DF4-D772-4FB1-9B97-3BE7498E2762}">
      <formula1>1</formula1>
    </dataValidation>
  </dataValidations>
  <printOptions horizontalCentered="1"/>
  <pageMargins left="0.35" right="0.35" top="0.35" bottom="0.5" header="0.3" footer="0.3"/>
  <pageSetup paperSize="9" scale="60" fitToHeight="0" orientation="landscape" r:id="rId1"/>
  <headerFooter differentFirst="1" scaleWithDoc="0">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dataBar" id="{A8D3A74B-885D-4EEA-B026-80DC206F7EF0}">
            <x14:dataBar minLength="0" maxLength="100" gradient="0">
              <x14:cfvo type="num">
                <xm:f>0</xm:f>
              </x14:cfvo>
              <x14:cfvo type="num">
                <xm:f>1</xm:f>
              </x14:cfvo>
              <x14:negativeFillColor rgb="FFFF0000"/>
              <x14:axisColor rgb="FF000000"/>
            </x14:dataBar>
          </x14:cfRule>
          <xm:sqref>E7:E15</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DE8B0-DD58-4C9C-BE83-759D4668FE24}">
  <sheetPr>
    <pageSetUpPr fitToPage="1"/>
  </sheetPr>
  <dimension ref="A1:BM22"/>
  <sheetViews>
    <sheetView showGridLines="0" showRuler="0" zoomScaleNormal="100" zoomScalePageLayoutView="70" workbookViewId="0">
      <selection activeCell="B14" sqref="B14"/>
    </sheetView>
  </sheetViews>
  <sheetFormatPr defaultRowHeight="30" customHeight="1" x14ac:dyDescent="0.35"/>
  <cols>
    <col min="1" max="1" width="2.7265625" style="8" customWidth="1"/>
    <col min="2" max="2" width="36.7265625" customWidth="1"/>
    <col min="3" max="3" width="19.7265625" customWidth="1"/>
    <col min="4" max="4" width="21" style="3" customWidth="1"/>
    <col min="5" max="5" width="11" bestFit="1" customWidth="1"/>
    <col min="6" max="6" width="8.6328125" style="3" bestFit="1" customWidth="1"/>
    <col min="7" max="7" width="8.7265625" bestFit="1" customWidth="1"/>
    <col min="8" max="8" width="2.7265625" customWidth="1"/>
    <col min="9" max="9" width="6.08984375" hidden="1" customWidth="1"/>
    <col min="10" max="65" width="2.6328125" customWidth="1"/>
  </cols>
  <sheetData>
    <row r="1" spans="1:65" ht="30" customHeight="1" x14ac:dyDescent="1.1499999999999999">
      <c r="A1" s="26" t="s">
        <v>0</v>
      </c>
      <c r="B1" s="14" t="s">
        <v>20</v>
      </c>
      <c r="C1" s="27"/>
      <c r="D1" s="46"/>
      <c r="E1" s="28"/>
      <c r="F1" s="29"/>
      <c r="G1" s="30"/>
      <c r="I1" s="1"/>
      <c r="J1" s="11"/>
    </row>
    <row r="2" spans="1:65" ht="23.25" customHeight="1" x14ac:dyDescent="0.95">
      <c r="A2" s="31" t="s">
        <v>1</v>
      </c>
      <c r="B2" s="15" t="s">
        <v>21</v>
      </c>
      <c r="C2" s="32"/>
      <c r="D2" s="33"/>
      <c r="E2" s="32"/>
      <c r="F2" s="33"/>
      <c r="G2" s="32"/>
      <c r="J2" s="12"/>
    </row>
    <row r="3" spans="1:65" ht="24.75" customHeight="1" x14ac:dyDescent="0.7">
      <c r="A3" s="31" t="s">
        <v>2</v>
      </c>
      <c r="B3" s="16" t="s">
        <v>22</v>
      </c>
      <c r="C3" s="60" t="s">
        <v>3</v>
      </c>
      <c r="D3" s="60"/>
      <c r="E3" s="61"/>
      <c r="F3" s="62">
        <f ca="1">TODAY()</f>
        <v>46119</v>
      </c>
      <c r="G3" s="63"/>
    </row>
    <row r="4" spans="1:65" ht="27.75" customHeight="1" x14ac:dyDescent="0.9">
      <c r="A4" s="26" t="s">
        <v>4</v>
      </c>
      <c r="B4" s="32"/>
      <c r="C4" s="60" t="s">
        <v>5</v>
      </c>
      <c r="D4" s="60"/>
      <c r="E4" s="61"/>
      <c r="F4" s="51">
        <v>1</v>
      </c>
      <c r="G4" s="52"/>
      <c r="I4" s="13"/>
      <c r="J4" s="53">
        <f ca="1">J5</f>
        <v>46118</v>
      </c>
      <c r="K4" s="54"/>
      <c r="L4" s="54"/>
      <c r="M4" s="54"/>
      <c r="N4" s="54"/>
      <c r="O4" s="54"/>
      <c r="P4" s="55"/>
      <c r="Q4" s="53">
        <f ca="1">Q5</f>
        <v>46125</v>
      </c>
      <c r="R4" s="54"/>
      <c r="S4" s="54"/>
      <c r="T4" s="54"/>
      <c r="U4" s="54"/>
      <c r="V4" s="54"/>
      <c r="W4" s="55"/>
      <c r="X4" s="53">
        <f ca="1">X5</f>
        <v>46132</v>
      </c>
      <c r="Y4" s="54"/>
      <c r="Z4" s="54"/>
      <c r="AA4" s="54"/>
      <c r="AB4" s="54"/>
      <c r="AC4" s="54"/>
      <c r="AD4" s="55"/>
      <c r="AE4" s="53">
        <f ca="1">AE5</f>
        <v>46139</v>
      </c>
      <c r="AF4" s="54"/>
      <c r="AG4" s="54"/>
      <c r="AH4" s="54"/>
      <c r="AI4" s="54"/>
      <c r="AJ4" s="54"/>
      <c r="AK4" s="55"/>
      <c r="AL4" s="53">
        <f ca="1">AL5</f>
        <v>46146</v>
      </c>
      <c r="AM4" s="54"/>
      <c r="AN4" s="54"/>
      <c r="AO4" s="54"/>
      <c r="AP4" s="54"/>
      <c r="AQ4" s="54"/>
      <c r="AR4" s="55"/>
      <c r="AS4" s="53">
        <f ca="1">AS5</f>
        <v>46153</v>
      </c>
      <c r="AT4" s="54"/>
      <c r="AU4" s="54"/>
      <c r="AV4" s="54"/>
      <c r="AW4" s="54"/>
      <c r="AX4" s="54"/>
      <c r="AY4" s="55"/>
      <c r="AZ4" s="53">
        <f ca="1">AZ5</f>
        <v>46160</v>
      </c>
      <c r="BA4" s="54"/>
      <c r="BB4" s="54"/>
      <c r="BC4" s="54"/>
      <c r="BD4" s="54"/>
      <c r="BE4" s="54"/>
      <c r="BF4" s="55"/>
      <c r="BG4" s="53">
        <f ca="1">BG5</f>
        <v>46167</v>
      </c>
      <c r="BH4" s="54"/>
      <c r="BI4" s="54"/>
      <c r="BJ4" s="54"/>
      <c r="BK4" s="54"/>
      <c r="BL4" s="54"/>
      <c r="BM4" s="55"/>
    </row>
    <row r="5" spans="1:65" ht="13.5" customHeight="1" x14ac:dyDescent="0.9">
      <c r="A5" s="26" t="s">
        <v>6</v>
      </c>
      <c r="B5" s="35"/>
      <c r="C5" s="35"/>
      <c r="D5" s="47"/>
      <c r="E5" s="35"/>
      <c r="F5" s="35"/>
      <c r="G5" s="35"/>
      <c r="H5" s="10"/>
      <c r="I5" s="13"/>
      <c r="J5" s="17">
        <f ca="1">Início_do_projeto-WEEKDAY(Início_do_projeto,1)+2+7*(Semana_de_exibição-1)</f>
        <v>46118</v>
      </c>
      <c r="K5" s="18">
        <f ca="1">J5+1</f>
        <v>46119</v>
      </c>
      <c r="L5" s="18">
        <f t="shared" ref="L5:AY5" ca="1" si="0">K5+1</f>
        <v>46120</v>
      </c>
      <c r="M5" s="18">
        <f t="shared" ca="1" si="0"/>
        <v>46121</v>
      </c>
      <c r="N5" s="18">
        <f t="shared" ca="1" si="0"/>
        <v>46122</v>
      </c>
      <c r="O5" s="18">
        <f t="shared" ca="1" si="0"/>
        <v>46123</v>
      </c>
      <c r="P5" s="19">
        <f t="shared" ca="1" si="0"/>
        <v>46124</v>
      </c>
      <c r="Q5" s="17">
        <f ca="1">P5+1</f>
        <v>46125</v>
      </c>
      <c r="R5" s="18">
        <f ca="1">Q5+1</f>
        <v>46126</v>
      </c>
      <c r="S5" s="18">
        <f t="shared" ca="1" si="0"/>
        <v>46127</v>
      </c>
      <c r="T5" s="18">
        <f t="shared" ca="1" si="0"/>
        <v>46128</v>
      </c>
      <c r="U5" s="18">
        <f t="shared" ca="1" si="0"/>
        <v>46129</v>
      </c>
      <c r="V5" s="18">
        <f t="shared" ca="1" si="0"/>
        <v>46130</v>
      </c>
      <c r="W5" s="19">
        <f t="shared" ca="1" si="0"/>
        <v>46131</v>
      </c>
      <c r="X5" s="17">
        <f ca="1">W5+1</f>
        <v>46132</v>
      </c>
      <c r="Y5" s="18">
        <f ca="1">X5+1</f>
        <v>46133</v>
      </c>
      <c r="Z5" s="18">
        <f t="shared" ca="1" si="0"/>
        <v>46134</v>
      </c>
      <c r="AA5" s="18">
        <f t="shared" ca="1" si="0"/>
        <v>46135</v>
      </c>
      <c r="AB5" s="18">
        <f t="shared" ca="1" si="0"/>
        <v>46136</v>
      </c>
      <c r="AC5" s="18">
        <f t="shared" ca="1" si="0"/>
        <v>46137</v>
      </c>
      <c r="AD5" s="19">
        <f t="shared" ca="1" si="0"/>
        <v>46138</v>
      </c>
      <c r="AE5" s="17">
        <f ca="1">AD5+1</f>
        <v>46139</v>
      </c>
      <c r="AF5" s="18">
        <f ca="1">AE5+1</f>
        <v>46140</v>
      </c>
      <c r="AG5" s="18">
        <f t="shared" ca="1" si="0"/>
        <v>46141</v>
      </c>
      <c r="AH5" s="18">
        <f t="shared" ca="1" si="0"/>
        <v>46142</v>
      </c>
      <c r="AI5" s="18">
        <f t="shared" ca="1" si="0"/>
        <v>46143</v>
      </c>
      <c r="AJ5" s="18">
        <f t="shared" ca="1" si="0"/>
        <v>46144</v>
      </c>
      <c r="AK5" s="19">
        <f t="shared" ca="1" si="0"/>
        <v>46145</v>
      </c>
      <c r="AL5" s="17">
        <f ca="1">AK5+1</f>
        <v>46146</v>
      </c>
      <c r="AM5" s="18">
        <f ca="1">AL5+1</f>
        <v>46147</v>
      </c>
      <c r="AN5" s="18">
        <f t="shared" ca="1" si="0"/>
        <v>46148</v>
      </c>
      <c r="AO5" s="18">
        <f t="shared" ca="1" si="0"/>
        <v>46149</v>
      </c>
      <c r="AP5" s="18">
        <f t="shared" ca="1" si="0"/>
        <v>46150</v>
      </c>
      <c r="AQ5" s="18">
        <f t="shared" ca="1" si="0"/>
        <v>46151</v>
      </c>
      <c r="AR5" s="19">
        <f t="shared" ca="1" si="0"/>
        <v>46152</v>
      </c>
      <c r="AS5" s="17">
        <f ca="1">AR5+1</f>
        <v>46153</v>
      </c>
      <c r="AT5" s="18">
        <f ca="1">AS5+1</f>
        <v>46154</v>
      </c>
      <c r="AU5" s="18">
        <f t="shared" ca="1" si="0"/>
        <v>46155</v>
      </c>
      <c r="AV5" s="18">
        <f t="shared" ca="1" si="0"/>
        <v>46156</v>
      </c>
      <c r="AW5" s="18">
        <f t="shared" ca="1" si="0"/>
        <v>46157</v>
      </c>
      <c r="AX5" s="18">
        <f t="shared" ca="1" si="0"/>
        <v>46158</v>
      </c>
      <c r="AY5" s="19">
        <f t="shared" ca="1" si="0"/>
        <v>46159</v>
      </c>
      <c r="AZ5" s="17">
        <f ca="1">AY5+1</f>
        <v>46160</v>
      </c>
      <c r="BA5" s="18">
        <f ca="1">AZ5+1</f>
        <v>46161</v>
      </c>
      <c r="BB5" s="18">
        <f t="shared" ref="BB5:BF5" ca="1" si="1">BA5+1</f>
        <v>46162</v>
      </c>
      <c r="BC5" s="18">
        <f t="shared" ca="1" si="1"/>
        <v>46163</v>
      </c>
      <c r="BD5" s="18">
        <f t="shared" ca="1" si="1"/>
        <v>46164</v>
      </c>
      <c r="BE5" s="18">
        <f t="shared" ca="1" si="1"/>
        <v>46165</v>
      </c>
      <c r="BF5" s="19">
        <f t="shared" ca="1" si="1"/>
        <v>46166</v>
      </c>
      <c r="BG5" s="17">
        <f ca="1">BF5+1</f>
        <v>46167</v>
      </c>
      <c r="BH5" s="18">
        <f ca="1">BG5+1</f>
        <v>46168</v>
      </c>
      <c r="BI5" s="18">
        <f t="shared" ref="BI5:BM5" ca="1" si="2">BH5+1</f>
        <v>46169</v>
      </c>
      <c r="BJ5" s="18">
        <f t="shared" ca="1" si="2"/>
        <v>46170</v>
      </c>
      <c r="BK5" s="18">
        <f t="shared" ca="1" si="2"/>
        <v>46171</v>
      </c>
      <c r="BL5" s="18">
        <f t="shared" ca="1" si="2"/>
        <v>46172</v>
      </c>
      <c r="BM5" s="19">
        <f t="shared" ca="1" si="2"/>
        <v>46173</v>
      </c>
    </row>
    <row r="6" spans="1:65" ht="30" customHeight="1" thickBot="1" x14ac:dyDescent="0.75">
      <c r="A6" s="26" t="s">
        <v>7</v>
      </c>
      <c r="B6" s="25" t="s">
        <v>8</v>
      </c>
      <c r="C6" s="20" t="s">
        <v>9</v>
      </c>
      <c r="D6" s="20" t="s">
        <v>10</v>
      </c>
      <c r="E6" s="20" t="s">
        <v>11</v>
      </c>
      <c r="F6" s="20" t="s">
        <v>12</v>
      </c>
      <c r="G6" s="20" t="s">
        <v>13</v>
      </c>
      <c r="H6" s="4"/>
      <c r="I6" s="20" t="s">
        <v>14</v>
      </c>
      <c r="J6" s="21" t="str">
        <f t="shared" ref="J6:BM6" ca="1" si="3">LEFT(TEXT(J5,"ddd"),1)</f>
        <v>s</v>
      </c>
      <c r="K6" s="21" t="str">
        <f t="shared" ca="1" si="3"/>
        <v>t</v>
      </c>
      <c r="L6" s="21" t="str">
        <f t="shared" ca="1" si="3"/>
        <v>q</v>
      </c>
      <c r="M6" s="21" t="str">
        <f t="shared" ca="1" si="3"/>
        <v>q</v>
      </c>
      <c r="N6" s="21" t="str">
        <f t="shared" ca="1" si="3"/>
        <v>s</v>
      </c>
      <c r="O6" s="21" t="str">
        <f t="shared" ca="1" si="3"/>
        <v>s</v>
      </c>
      <c r="P6" s="21" t="str">
        <f t="shared" ca="1" si="3"/>
        <v>d</v>
      </c>
      <c r="Q6" s="21" t="str">
        <f t="shared" ca="1" si="3"/>
        <v>s</v>
      </c>
      <c r="R6" s="21" t="str">
        <f t="shared" ca="1" si="3"/>
        <v>t</v>
      </c>
      <c r="S6" s="21" t="str">
        <f t="shared" ca="1" si="3"/>
        <v>q</v>
      </c>
      <c r="T6" s="21" t="str">
        <f t="shared" ca="1" si="3"/>
        <v>q</v>
      </c>
      <c r="U6" s="21" t="str">
        <f t="shared" ca="1" si="3"/>
        <v>s</v>
      </c>
      <c r="V6" s="21" t="str">
        <f t="shared" ca="1" si="3"/>
        <v>s</v>
      </c>
      <c r="W6" s="21" t="str">
        <f t="shared" ca="1" si="3"/>
        <v>d</v>
      </c>
      <c r="X6" s="21" t="str">
        <f t="shared" ca="1" si="3"/>
        <v>s</v>
      </c>
      <c r="Y6" s="21" t="str">
        <f t="shared" ca="1" si="3"/>
        <v>t</v>
      </c>
      <c r="Z6" s="21" t="str">
        <f t="shared" ca="1" si="3"/>
        <v>q</v>
      </c>
      <c r="AA6" s="21" t="str">
        <f t="shared" ca="1" si="3"/>
        <v>q</v>
      </c>
      <c r="AB6" s="21" t="str">
        <f t="shared" ca="1" si="3"/>
        <v>s</v>
      </c>
      <c r="AC6" s="21" t="str">
        <f t="shared" ca="1" si="3"/>
        <v>s</v>
      </c>
      <c r="AD6" s="21" t="str">
        <f t="shared" ca="1" si="3"/>
        <v>d</v>
      </c>
      <c r="AE6" s="21" t="str">
        <f t="shared" ca="1" si="3"/>
        <v>s</v>
      </c>
      <c r="AF6" s="21" t="str">
        <f t="shared" ca="1" si="3"/>
        <v>t</v>
      </c>
      <c r="AG6" s="21" t="str">
        <f t="shared" ca="1" si="3"/>
        <v>q</v>
      </c>
      <c r="AH6" s="21" t="str">
        <f t="shared" ca="1" si="3"/>
        <v>q</v>
      </c>
      <c r="AI6" s="21" t="str">
        <f t="shared" ca="1" si="3"/>
        <v>s</v>
      </c>
      <c r="AJ6" s="21" t="str">
        <f t="shared" ca="1" si="3"/>
        <v>s</v>
      </c>
      <c r="AK6" s="21" t="str">
        <f t="shared" ca="1" si="3"/>
        <v>d</v>
      </c>
      <c r="AL6" s="21" t="str">
        <f t="shared" ca="1" si="3"/>
        <v>s</v>
      </c>
      <c r="AM6" s="21" t="str">
        <f t="shared" ca="1" si="3"/>
        <v>t</v>
      </c>
      <c r="AN6" s="21" t="str">
        <f t="shared" ca="1" si="3"/>
        <v>q</v>
      </c>
      <c r="AO6" s="21" t="str">
        <f t="shared" ca="1" si="3"/>
        <v>q</v>
      </c>
      <c r="AP6" s="21" t="str">
        <f t="shared" ca="1" si="3"/>
        <v>s</v>
      </c>
      <c r="AQ6" s="21" t="str">
        <f t="shared" ca="1" si="3"/>
        <v>s</v>
      </c>
      <c r="AR6" s="21" t="str">
        <f t="shared" ca="1" si="3"/>
        <v>d</v>
      </c>
      <c r="AS6" s="21" t="str">
        <f t="shared" ca="1" si="3"/>
        <v>s</v>
      </c>
      <c r="AT6" s="21" t="str">
        <f t="shared" ca="1" si="3"/>
        <v>t</v>
      </c>
      <c r="AU6" s="21" t="str">
        <f t="shared" ca="1" si="3"/>
        <v>q</v>
      </c>
      <c r="AV6" s="21" t="str">
        <f t="shared" ca="1" si="3"/>
        <v>q</v>
      </c>
      <c r="AW6" s="21" t="str">
        <f t="shared" ca="1" si="3"/>
        <v>s</v>
      </c>
      <c r="AX6" s="21" t="str">
        <f t="shared" ca="1" si="3"/>
        <v>s</v>
      </c>
      <c r="AY6" s="21" t="str">
        <f t="shared" ca="1" si="3"/>
        <v>d</v>
      </c>
      <c r="AZ6" s="21" t="str">
        <f t="shared" ca="1" si="3"/>
        <v>s</v>
      </c>
      <c r="BA6" s="21" t="str">
        <f t="shared" ca="1" si="3"/>
        <v>t</v>
      </c>
      <c r="BB6" s="21" t="str">
        <f t="shared" ca="1" si="3"/>
        <v>q</v>
      </c>
      <c r="BC6" s="21" t="str">
        <f t="shared" ca="1" si="3"/>
        <v>q</v>
      </c>
      <c r="BD6" s="21" t="str">
        <f t="shared" ca="1" si="3"/>
        <v>s</v>
      </c>
      <c r="BE6" s="21" t="str">
        <f t="shared" ca="1" si="3"/>
        <v>s</v>
      </c>
      <c r="BF6" s="21" t="str">
        <f t="shared" ca="1" si="3"/>
        <v>d</v>
      </c>
      <c r="BG6" s="21" t="str">
        <f t="shared" ca="1" si="3"/>
        <v>s</v>
      </c>
      <c r="BH6" s="21" t="str">
        <f t="shared" ca="1" si="3"/>
        <v>t</v>
      </c>
      <c r="BI6" s="21" t="str">
        <f t="shared" ca="1" si="3"/>
        <v>q</v>
      </c>
      <c r="BJ6" s="21" t="str">
        <f t="shared" ca="1" si="3"/>
        <v>q</v>
      </c>
      <c r="BK6" s="21" t="str">
        <f t="shared" ca="1" si="3"/>
        <v>s</v>
      </c>
      <c r="BL6" s="21" t="str">
        <f t="shared" ca="1" si="3"/>
        <v>s</v>
      </c>
      <c r="BM6" s="21" t="str">
        <f t="shared" ca="1" si="3"/>
        <v>d</v>
      </c>
    </row>
    <row r="7" spans="1:65" ht="5.15" customHeight="1" thickBot="1" x14ac:dyDescent="0.95">
      <c r="A7" s="31" t="s">
        <v>15</v>
      </c>
      <c r="B7" s="32"/>
      <c r="C7" s="36"/>
      <c r="D7" s="48"/>
      <c r="E7" s="32"/>
      <c r="F7" s="32"/>
      <c r="G7" s="32"/>
      <c r="I7" s="13" t="str">
        <f>IF(OR(ISBLANK(Início_da_tarefa),ISBLANK(Término_da_tarefa)),"",Término_da_tarefa-Início_da_tarefa+1)</f>
        <v/>
      </c>
      <c r="J7" s="22"/>
      <c r="K7" s="22"/>
      <c r="L7" s="22"/>
      <c r="M7" s="22"/>
      <c r="N7" s="22"/>
      <c r="O7" s="22"/>
      <c r="P7" s="22"/>
      <c r="Q7" s="22"/>
      <c r="R7" s="22"/>
      <c r="S7" s="22"/>
      <c r="T7" s="22"/>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c r="AV7" s="22"/>
      <c r="AW7" s="22"/>
      <c r="AX7" s="22"/>
      <c r="AY7" s="22"/>
      <c r="AZ7" s="22"/>
      <c r="BA7" s="22"/>
      <c r="BB7" s="22"/>
      <c r="BC7" s="22"/>
      <c r="BD7" s="22"/>
      <c r="BE7" s="22"/>
      <c r="BF7" s="22"/>
      <c r="BG7" s="22"/>
      <c r="BH7" s="22"/>
      <c r="BI7" s="22"/>
      <c r="BJ7" s="22"/>
      <c r="BK7" s="22"/>
      <c r="BL7" s="22"/>
      <c r="BM7" s="22"/>
    </row>
    <row r="8" spans="1:65" ht="22" customHeight="1" thickBot="1" x14ac:dyDescent="0.95">
      <c r="A8" s="31"/>
      <c r="B8" s="41" t="s">
        <v>23</v>
      </c>
      <c r="C8" s="42"/>
      <c r="D8" s="49"/>
      <c r="E8" s="43"/>
      <c r="F8" s="43"/>
      <c r="G8" s="43"/>
      <c r="H8" s="44"/>
      <c r="I8" s="13"/>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2"/>
      <c r="AN8" s="22"/>
      <c r="AO8" s="22"/>
      <c r="AP8" s="22"/>
      <c r="AQ8" s="22"/>
      <c r="AR8" s="22"/>
      <c r="AS8" s="22"/>
      <c r="AT8" s="22"/>
      <c r="AU8" s="22"/>
      <c r="AV8" s="22"/>
      <c r="AW8" s="22"/>
      <c r="AX8" s="22"/>
      <c r="AY8" s="22"/>
      <c r="AZ8" s="22"/>
      <c r="BA8" s="22"/>
      <c r="BB8" s="22"/>
      <c r="BC8" s="22"/>
      <c r="BD8" s="22"/>
      <c r="BE8" s="22"/>
      <c r="BF8" s="22"/>
      <c r="BG8" s="22"/>
      <c r="BH8" s="22"/>
      <c r="BI8" s="22"/>
      <c r="BJ8" s="22"/>
      <c r="BK8" s="22"/>
      <c r="BL8" s="22"/>
      <c r="BM8" s="22"/>
    </row>
    <row r="9" spans="1:65" s="2" customFormat="1" ht="30" customHeight="1" thickBot="1" x14ac:dyDescent="0.75">
      <c r="A9" s="26" t="s">
        <v>16</v>
      </c>
      <c r="B9" s="39" t="s">
        <v>24</v>
      </c>
      <c r="C9" s="37" t="s">
        <v>25</v>
      </c>
      <c r="D9" s="50">
        <v>0</v>
      </c>
      <c r="E9" s="38">
        <v>1</v>
      </c>
      <c r="F9" s="40">
        <v>45566</v>
      </c>
      <c r="G9" s="40">
        <v>45572</v>
      </c>
      <c r="H9" s="7"/>
      <c r="I9" s="23">
        <f t="shared" ref="I9:I22" si="4">IF(OR(ISBLANK(Início_da_tarefa),ISBLANK(Término_da_tarefa)),"",Término_da_tarefa-Início_da_tarefa+1)</f>
        <v>7</v>
      </c>
      <c r="J9" s="22"/>
      <c r="K9" s="22"/>
      <c r="L9" s="22"/>
      <c r="M9" s="22"/>
      <c r="N9" s="22"/>
      <c r="O9" s="22"/>
      <c r="P9" s="22"/>
      <c r="Q9" s="22"/>
      <c r="R9" s="22"/>
      <c r="S9" s="22"/>
      <c r="T9" s="22"/>
      <c r="U9" s="22"/>
      <c r="V9" s="22"/>
      <c r="W9" s="22"/>
      <c r="X9" s="22"/>
      <c r="Y9" s="22"/>
      <c r="Z9" s="22"/>
      <c r="AA9" s="22"/>
      <c r="AB9" s="22"/>
      <c r="AC9" s="22"/>
      <c r="AD9" s="22"/>
      <c r="AE9" s="22"/>
      <c r="AF9" s="22"/>
      <c r="AG9" s="22"/>
      <c r="AH9" s="22"/>
      <c r="AI9" s="22"/>
      <c r="AJ9" s="22"/>
      <c r="AK9" s="22"/>
      <c r="AL9" s="22"/>
      <c r="AM9" s="22"/>
      <c r="AN9" s="22"/>
      <c r="AO9" s="22"/>
      <c r="AP9" s="22"/>
      <c r="AQ9" s="22"/>
      <c r="AR9" s="22"/>
      <c r="AS9" s="22"/>
      <c r="AT9" s="22"/>
      <c r="AU9" s="22"/>
      <c r="AV9" s="22"/>
      <c r="AW9" s="22"/>
      <c r="AX9" s="22"/>
      <c r="AY9" s="22"/>
      <c r="AZ9" s="22"/>
      <c r="BA9" s="22"/>
      <c r="BB9" s="22"/>
      <c r="BC9" s="22"/>
      <c r="BD9" s="22"/>
      <c r="BE9" s="22"/>
      <c r="BF9" s="22"/>
      <c r="BG9" s="22"/>
      <c r="BH9" s="22"/>
      <c r="BI9" s="22"/>
      <c r="BJ9" s="22"/>
      <c r="BK9" s="22"/>
      <c r="BL9" s="22"/>
      <c r="BM9" s="22"/>
    </row>
    <row r="10" spans="1:65" s="2" customFormat="1" ht="30" customHeight="1" thickBot="1" x14ac:dyDescent="0.75">
      <c r="A10" s="26" t="s">
        <v>17</v>
      </c>
      <c r="B10" s="39" t="s">
        <v>26</v>
      </c>
      <c r="C10" s="37" t="s">
        <v>27</v>
      </c>
      <c r="D10" s="45">
        <v>1200</v>
      </c>
      <c r="E10" s="38">
        <v>0.6</v>
      </c>
      <c r="F10" s="40">
        <v>45573</v>
      </c>
      <c r="G10" s="40">
        <v>45580</v>
      </c>
      <c r="H10" s="7"/>
      <c r="I10" s="23">
        <f t="shared" si="4"/>
        <v>8</v>
      </c>
      <c r="J10" s="22"/>
      <c r="K10" s="22"/>
      <c r="L10" s="22"/>
      <c r="M10" s="22"/>
      <c r="N10" s="22"/>
      <c r="O10" s="22"/>
      <c r="P10" s="22"/>
      <c r="Q10" s="22"/>
      <c r="R10" s="22"/>
      <c r="S10" s="22"/>
      <c r="T10" s="22"/>
      <c r="U10" s="22"/>
      <c r="V10" s="24"/>
      <c r="W10" s="24"/>
      <c r="X10" s="22"/>
      <c r="Y10" s="22"/>
      <c r="Z10" s="22"/>
      <c r="AA10" s="22"/>
      <c r="AB10" s="22"/>
      <c r="AC10" s="22"/>
      <c r="AD10" s="22"/>
      <c r="AE10" s="22"/>
      <c r="AF10" s="22"/>
      <c r="AG10" s="22"/>
      <c r="AH10" s="22"/>
      <c r="AI10" s="22"/>
      <c r="AJ10" s="22"/>
      <c r="AK10" s="22"/>
      <c r="AL10" s="22"/>
      <c r="AM10" s="22"/>
      <c r="AN10" s="22"/>
      <c r="AO10" s="22"/>
      <c r="AP10" s="22"/>
      <c r="AQ10" s="22"/>
      <c r="AR10" s="22"/>
      <c r="AS10" s="22"/>
      <c r="AT10" s="22"/>
      <c r="AU10" s="22"/>
      <c r="AV10" s="22"/>
      <c r="AW10" s="22"/>
      <c r="AX10" s="22"/>
      <c r="AY10" s="22"/>
      <c r="AZ10" s="22"/>
      <c r="BA10" s="22"/>
      <c r="BB10" s="22"/>
      <c r="BC10" s="22"/>
      <c r="BD10" s="22"/>
      <c r="BE10" s="22"/>
      <c r="BF10" s="22"/>
      <c r="BG10" s="22"/>
      <c r="BH10" s="22"/>
      <c r="BI10" s="22"/>
      <c r="BJ10" s="22"/>
      <c r="BK10" s="22"/>
      <c r="BL10" s="22"/>
      <c r="BM10" s="22"/>
    </row>
    <row r="11" spans="1:65" s="2" customFormat="1" ht="30" customHeight="1" thickBot="1" x14ac:dyDescent="0.75">
      <c r="A11" s="31"/>
      <c r="B11" s="39" t="s">
        <v>28</v>
      </c>
      <c r="C11" s="37" t="s">
        <v>29</v>
      </c>
      <c r="D11" s="45">
        <v>5000</v>
      </c>
      <c r="E11" s="38">
        <v>0.5</v>
      </c>
      <c r="F11" s="40">
        <v>45581</v>
      </c>
      <c r="G11" s="40">
        <v>45587</v>
      </c>
      <c r="H11" s="7"/>
      <c r="I11" s="23">
        <f t="shared" si="4"/>
        <v>7</v>
      </c>
      <c r="J11" s="22"/>
      <c r="K11" s="22"/>
      <c r="L11" s="22"/>
      <c r="M11" s="22"/>
      <c r="N11" s="22"/>
      <c r="O11" s="22"/>
      <c r="P11" s="22"/>
      <c r="Q11" s="22"/>
      <c r="R11" s="22"/>
      <c r="S11" s="22"/>
      <c r="T11" s="22"/>
      <c r="U11" s="22"/>
      <c r="V11" s="22"/>
      <c r="W11" s="22"/>
      <c r="X11" s="22"/>
      <c r="Y11" s="22"/>
      <c r="Z11" s="22"/>
      <c r="AA11" s="22"/>
      <c r="AB11" s="22"/>
      <c r="AC11" s="22"/>
      <c r="AD11" s="22"/>
      <c r="AE11" s="22"/>
      <c r="AF11" s="22"/>
      <c r="AG11" s="22"/>
      <c r="AH11" s="22"/>
      <c r="AI11" s="22"/>
      <c r="AJ11" s="22"/>
      <c r="AK11" s="22"/>
      <c r="AL11" s="22"/>
      <c r="AM11" s="22"/>
      <c r="AN11" s="22"/>
      <c r="AO11" s="22"/>
      <c r="AP11" s="22"/>
      <c r="AQ11" s="22"/>
      <c r="AR11" s="22"/>
      <c r="AS11" s="22"/>
      <c r="AT11" s="22"/>
      <c r="AU11" s="22"/>
      <c r="AV11" s="22"/>
      <c r="AW11" s="22"/>
      <c r="AX11" s="22"/>
      <c r="AY11" s="22"/>
      <c r="AZ11" s="22"/>
      <c r="BA11" s="22"/>
      <c r="BB11" s="22"/>
      <c r="BC11" s="22"/>
      <c r="BD11" s="22"/>
      <c r="BE11" s="22"/>
      <c r="BF11" s="22"/>
      <c r="BG11" s="22"/>
      <c r="BH11" s="22"/>
      <c r="BI11" s="22"/>
      <c r="BJ11" s="22"/>
      <c r="BK11" s="22"/>
      <c r="BL11" s="22"/>
      <c r="BM11" s="22"/>
    </row>
    <row r="12" spans="1:65" s="2" customFormat="1" ht="30" customHeight="1" thickBot="1" x14ac:dyDescent="0.75">
      <c r="A12" s="31"/>
      <c r="B12" s="39" t="s">
        <v>30</v>
      </c>
      <c r="C12" s="37" t="s">
        <v>31</v>
      </c>
      <c r="D12" s="45">
        <v>200</v>
      </c>
      <c r="E12" s="38">
        <v>0.25</v>
      </c>
      <c r="F12" s="40">
        <v>45588</v>
      </c>
      <c r="G12" s="40">
        <v>45595</v>
      </c>
      <c r="H12" s="7"/>
      <c r="I12" s="23">
        <f t="shared" si="4"/>
        <v>8</v>
      </c>
      <c r="J12" s="22"/>
      <c r="K12" s="22"/>
      <c r="L12" s="22"/>
      <c r="M12" s="22"/>
      <c r="N12" s="22"/>
      <c r="O12" s="22"/>
      <c r="P12" s="22"/>
      <c r="Q12" s="22"/>
      <c r="R12" s="22"/>
      <c r="S12" s="22"/>
      <c r="T12" s="22"/>
      <c r="U12" s="22"/>
      <c r="V12" s="22"/>
      <c r="W12" s="22"/>
      <c r="X12" s="22"/>
      <c r="Y12" s="22"/>
      <c r="Z12" s="24"/>
      <c r="AA12" s="22"/>
      <c r="AB12" s="22"/>
      <c r="AC12" s="22"/>
      <c r="AD12" s="22"/>
      <c r="AE12" s="22"/>
      <c r="AF12" s="22"/>
      <c r="AG12" s="22"/>
      <c r="AH12" s="22"/>
      <c r="AI12" s="22"/>
      <c r="AJ12" s="22"/>
      <c r="AK12" s="22"/>
      <c r="AL12" s="22"/>
      <c r="AM12" s="22"/>
      <c r="AN12" s="22"/>
      <c r="AO12" s="22"/>
      <c r="AP12" s="22"/>
      <c r="AQ12" s="22"/>
      <c r="AR12" s="22"/>
      <c r="AS12" s="22"/>
      <c r="AT12" s="22"/>
      <c r="AU12" s="22"/>
      <c r="AV12" s="22"/>
      <c r="AW12" s="22"/>
      <c r="AX12" s="22"/>
      <c r="AY12" s="22"/>
      <c r="AZ12" s="22"/>
      <c r="BA12" s="22"/>
      <c r="BB12" s="22"/>
      <c r="BC12" s="22"/>
      <c r="BD12" s="22"/>
      <c r="BE12" s="22"/>
      <c r="BF12" s="22"/>
      <c r="BG12" s="22"/>
      <c r="BH12" s="22"/>
      <c r="BI12" s="22"/>
      <c r="BJ12" s="22"/>
      <c r="BK12" s="22"/>
      <c r="BL12" s="22"/>
      <c r="BM12" s="22"/>
    </row>
    <row r="13" spans="1:65" s="2" customFormat="1" ht="30" customHeight="1" thickBot="1" x14ac:dyDescent="0.75">
      <c r="A13" s="31"/>
      <c r="B13" s="39" t="s">
        <v>32</v>
      </c>
      <c r="C13" s="37" t="s">
        <v>33</v>
      </c>
      <c r="D13" s="45">
        <v>0</v>
      </c>
      <c r="E13" s="38">
        <v>0</v>
      </c>
      <c r="F13" s="40">
        <v>45596</v>
      </c>
      <c r="G13" s="40">
        <v>45606</v>
      </c>
      <c r="H13" s="7"/>
      <c r="I13" s="23">
        <f t="shared" si="4"/>
        <v>11</v>
      </c>
      <c r="J13" s="22"/>
      <c r="K13" s="22"/>
      <c r="L13" s="22"/>
      <c r="M13" s="22"/>
      <c r="N13" s="22"/>
      <c r="O13" s="22"/>
      <c r="P13" s="22"/>
      <c r="Q13" s="22"/>
      <c r="R13" s="22"/>
      <c r="S13" s="22"/>
      <c r="T13" s="22"/>
      <c r="U13" s="22"/>
      <c r="V13" s="22"/>
      <c r="W13" s="22"/>
      <c r="X13" s="22"/>
      <c r="Y13" s="22"/>
      <c r="Z13" s="22"/>
      <c r="AA13" s="22"/>
      <c r="AB13" s="22"/>
      <c r="AC13" s="22"/>
      <c r="AD13" s="22"/>
      <c r="AE13" s="22"/>
      <c r="AF13" s="22"/>
      <c r="AG13" s="22"/>
      <c r="AH13" s="22"/>
      <c r="AI13" s="22"/>
      <c r="AJ13" s="22"/>
      <c r="AK13" s="22"/>
      <c r="AL13" s="22"/>
      <c r="AM13" s="22"/>
      <c r="AN13" s="22"/>
      <c r="AO13" s="22"/>
      <c r="AP13" s="22"/>
      <c r="AQ13" s="22"/>
      <c r="AR13" s="22"/>
      <c r="AS13" s="22"/>
      <c r="AT13" s="22"/>
      <c r="AU13" s="22"/>
      <c r="AV13" s="22"/>
      <c r="AW13" s="22"/>
      <c r="AX13" s="22"/>
      <c r="AY13" s="22"/>
      <c r="AZ13" s="22"/>
      <c r="BA13" s="22"/>
      <c r="BB13" s="22"/>
      <c r="BC13" s="22"/>
      <c r="BD13" s="22"/>
      <c r="BE13" s="22"/>
      <c r="BF13" s="22"/>
      <c r="BG13" s="22"/>
      <c r="BH13" s="22"/>
      <c r="BI13" s="22"/>
      <c r="BJ13" s="22"/>
      <c r="BK13" s="22"/>
      <c r="BL13" s="22"/>
      <c r="BM13" s="22"/>
    </row>
    <row r="14" spans="1:65" s="2" customFormat="1" ht="22" customHeight="1" thickBot="1" x14ac:dyDescent="0.75">
      <c r="A14" s="26" t="s">
        <v>18</v>
      </c>
      <c r="B14" s="41" t="s">
        <v>49</v>
      </c>
      <c r="C14" s="42"/>
      <c r="D14" s="49"/>
      <c r="E14" s="43"/>
      <c r="F14" s="43"/>
      <c r="G14" s="43"/>
      <c r="H14" s="44"/>
      <c r="I14" s="23" t="str">
        <f t="shared" si="4"/>
        <v/>
      </c>
      <c r="J14" s="22"/>
      <c r="K14" s="22"/>
      <c r="L14" s="22"/>
      <c r="M14" s="22"/>
      <c r="N14" s="22"/>
      <c r="O14" s="22"/>
      <c r="P14" s="22"/>
      <c r="Q14" s="22"/>
      <c r="R14" s="22"/>
      <c r="S14" s="22"/>
      <c r="T14" s="22"/>
      <c r="U14" s="22"/>
      <c r="V14" s="22"/>
      <c r="W14" s="22"/>
      <c r="X14" s="22"/>
      <c r="Y14" s="22"/>
      <c r="Z14" s="22"/>
      <c r="AA14" s="22"/>
      <c r="AB14" s="22"/>
      <c r="AC14" s="22"/>
      <c r="AD14" s="22"/>
      <c r="AE14" s="22"/>
      <c r="AF14" s="22"/>
      <c r="AG14" s="22"/>
      <c r="AH14" s="22"/>
      <c r="AI14" s="22"/>
      <c r="AJ14" s="22"/>
      <c r="AK14" s="22"/>
      <c r="AL14" s="22"/>
      <c r="AM14" s="22"/>
      <c r="AN14" s="22"/>
      <c r="AO14" s="22"/>
      <c r="AP14" s="22"/>
      <c r="AQ14" s="22"/>
      <c r="AR14" s="22"/>
      <c r="AS14" s="22"/>
      <c r="AT14" s="22"/>
      <c r="AU14" s="22"/>
      <c r="AV14" s="22"/>
      <c r="AW14" s="22"/>
      <c r="AX14" s="22"/>
      <c r="AY14" s="22"/>
      <c r="AZ14" s="22"/>
      <c r="BA14" s="22"/>
      <c r="BB14" s="22"/>
      <c r="BC14" s="22"/>
      <c r="BD14" s="22"/>
      <c r="BE14" s="22"/>
      <c r="BF14" s="22"/>
      <c r="BG14" s="22"/>
      <c r="BH14" s="22"/>
      <c r="BI14" s="22"/>
      <c r="BJ14" s="22"/>
      <c r="BK14" s="22"/>
      <c r="BL14" s="22"/>
      <c r="BM14" s="22"/>
    </row>
    <row r="15" spans="1:65" s="2" customFormat="1" ht="30" customHeight="1" thickBot="1" x14ac:dyDescent="0.75">
      <c r="A15" s="26"/>
      <c r="B15" s="39" t="s">
        <v>34</v>
      </c>
      <c r="C15" s="37" t="s">
        <v>35</v>
      </c>
      <c r="D15" s="45">
        <v>200</v>
      </c>
      <c r="E15" s="38">
        <v>0.6</v>
      </c>
      <c r="F15" s="40">
        <v>45604</v>
      </c>
      <c r="G15" s="40">
        <v>45610</v>
      </c>
      <c r="H15" s="7"/>
      <c r="I15" s="23">
        <f t="shared" si="4"/>
        <v>7</v>
      </c>
      <c r="J15" s="22"/>
      <c r="K15" s="22"/>
      <c r="L15" s="22"/>
      <c r="M15" s="22"/>
      <c r="N15" s="22"/>
      <c r="O15" s="22"/>
      <c r="P15" s="22"/>
      <c r="Q15" s="22"/>
      <c r="R15" s="22"/>
      <c r="S15" s="22"/>
      <c r="T15" s="22"/>
      <c r="U15" s="22"/>
      <c r="V15" s="22"/>
      <c r="W15" s="22"/>
      <c r="X15" s="22"/>
      <c r="Y15" s="22"/>
      <c r="Z15" s="22"/>
      <c r="AA15" s="22"/>
      <c r="AB15" s="22"/>
      <c r="AC15" s="22"/>
      <c r="AD15" s="22"/>
      <c r="AE15" s="22"/>
      <c r="AF15" s="22"/>
      <c r="AG15" s="22"/>
      <c r="AH15" s="22"/>
      <c r="AI15" s="22"/>
      <c r="AJ15" s="22"/>
      <c r="AK15" s="22"/>
      <c r="AL15" s="22"/>
      <c r="AM15" s="22"/>
      <c r="AN15" s="22"/>
      <c r="AO15" s="22"/>
      <c r="AP15" s="22"/>
      <c r="AQ15" s="22"/>
      <c r="AR15" s="22"/>
      <c r="AS15" s="22"/>
      <c r="AT15" s="22"/>
      <c r="AU15" s="22"/>
      <c r="AV15" s="22"/>
      <c r="AW15" s="22"/>
      <c r="AX15" s="22"/>
      <c r="AY15" s="22"/>
      <c r="AZ15" s="22"/>
      <c r="BA15" s="22"/>
      <c r="BB15" s="22"/>
      <c r="BC15" s="22"/>
      <c r="BD15" s="22"/>
      <c r="BE15" s="22"/>
      <c r="BF15" s="22"/>
      <c r="BG15" s="22"/>
      <c r="BH15" s="22"/>
      <c r="BI15" s="22"/>
      <c r="BJ15" s="22"/>
      <c r="BK15" s="22"/>
      <c r="BL15" s="22"/>
      <c r="BM15" s="22"/>
    </row>
    <row r="16" spans="1:65" s="2" customFormat="1" ht="30" customHeight="1" thickBot="1" x14ac:dyDescent="0.75">
      <c r="A16" s="31"/>
      <c r="B16" s="39" t="s">
        <v>36</v>
      </c>
      <c r="C16" s="37" t="s">
        <v>37</v>
      </c>
      <c r="D16" s="45">
        <v>300</v>
      </c>
      <c r="E16" s="38">
        <v>0.5</v>
      </c>
      <c r="F16" s="40">
        <v>45611</v>
      </c>
      <c r="G16" s="40">
        <v>45617</v>
      </c>
      <c r="H16" s="7"/>
      <c r="I16" s="23">
        <f t="shared" si="4"/>
        <v>7</v>
      </c>
      <c r="J16" s="22"/>
      <c r="K16" s="22"/>
      <c r="L16" s="22"/>
      <c r="M16" s="22"/>
      <c r="N16" s="22"/>
      <c r="O16" s="22"/>
      <c r="P16" s="22"/>
      <c r="Q16" s="22"/>
      <c r="R16" s="22"/>
      <c r="S16" s="22"/>
      <c r="T16" s="22"/>
      <c r="U16" s="22"/>
      <c r="V16" s="24"/>
      <c r="W16" s="24"/>
      <c r="X16" s="22"/>
      <c r="Y16" s="22"/>
      <c r="Z16" s="22"/>
      <c r="AA16" s="22"/>
      <c r="AB16" s="22"/>
      <c r="AC16" s="22"/>
      <c r="AD16" s="22"/>
      <c r="AE16" s="22"/>
      <c r="AF16" s="22"/>
      <c r="AG16" s="22"/>
      <c r="AH16" s="22"/>
      <c r="AI16" s="22"/>
      <c r="AJ16" s="22"/>
      <c r="AK16" s="22"/>
      <c r="AL16" s="22"/>
      <c r="AM16" s="22"/>
      <c r="AN16" s="22"/>
      <c r="AO16" s="22"/>
      <c r="AP16" s="22"/>
      <c r="AQ16" s="22"/>
      <c r="AR16" s="22"/>
      <c r="AS16" s="22"/>
      <c r="AT16" s="22"/>
      <c r="AU16" s="22"/>
      <c r="AV16" s="22"/>
      <c r="AW16" s="22"/>
      <c r="AX16" s="22"/>
      <c r="AY16" s="22"/>
      <c r="AZ16" s="22"/>
      <c r="BA16" s="22"/>
      <c r="BB16" s="22"/>
      <c r="BC16" s="22"/>
      <c r="BD16" s="22"/>
      <c r="BE16" s="22"/>
      <c r="BF16" s="22"/>
      <c r="BG16" s="22"/>
      <c r="BH16" s="22"/>
      <c r="BI16" s="22"/>
      <c r="BJ16" s="22"/>
      <c r="BK16" s="22"/>
      <c r="BL16" s="22"/>
      <c r="BM16" s="22"/>
    </row>
    <row r="17" spans="1:65" s="2" customFormat="1" ht="30" customHeight="1" thickBot="1" x14ac:dyDescent="0.75">
      <c r="A17" s="31"/>
      <c r="B17" s="39" t="s">
        <v>38</v>
      </c>
      <c r="C17" s="37" t="s">
        <v>39</v>
      </c>
      <c r="D17" s="45">
        <v>1000</v>
      </c>
      <c r="E17" s="38">
        <v>0.25</v>
      </c>
      <c r="F17" s="40">
        <v>45618</v>
      </c>
      <c r="G17" s="40">
        <v>45624</v>
      </c>
      <c r="H17" s="7"/>
      <c r="I17" s="23">
        <f t="shared" si="4"/>
        <v>7</v>
      </c>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2"/>
      <c r="AR17" s="22"/>
      <c r="AS17" s="22"/>
      <c r="AT17" s="22"/>
      <c r="AU17" s="22"/>
      <c r="AV17" s="22"/>
      <c r="AW17" s="22"/>
      <c r="AX17" s="22"/>
      <c r="AY17" s="22"/>
      <c r="AZ17" s="22"/>
      <c r="BA17" s="22"/>
      <c r="BB17" s="22"/>
      <c r="BC17" s="22"/>
      <c r="BD17" s="22"/>
      <c r="BE17" s="22"/>
      <c r="BF17" s="22"/>
      <c r="BG17" s="22"/>
      <c r="BH17" s="22"/>
      <c r="BI17" s="22"/>
      <c r="BJ17" s="22"/>
      <c r="BK17" s="22"/>
      <c r="BL17" s="22"/>
      <c r="BM17" s="22"/>
    </row>
    <row r="18" spans="1:65" s="2" customFormat="1" ht="30" customHeight="1" thickBot="1" x14ac:dyDescent="0.75">
      <c r="A18" s="31"/>
      <c r="B18" s="39" t="s">
        <v>40</v>
      </c>
      <c r="C18" s="37" t="s">
        <v>41</v>
      </c>
      <c r="D18" s="45">
        <v>200</v>
      </c>
      <c r="E18" s="38">
        <v>0</v>
      </c>
      <c r="F18" s="40">
        <v>45625</v>
      </c>
      <c r="G18" s="40">
        <v>45631</v>
      </c>
      <c r="H18" s="7"/>
      <c r="I18" s="23">
        <f t="shared" si="4"/>
        <v>7</v>
      </c>
      <c r="J18" s="22"/>
      <c r="K18" s="22"/>
      <c r="L18" s="22"/>
      <c r="M18" s="22"/>
      <c r="N18" s="22"/>
      <c r="O18" s="22"/>
      <c r="P18" s="22"/>
      <c r="Q18" s="22"/>
      <c r="R18" s="22"/>
      <c r="S18" s="22"/>
      <c r="T18" s="22"/>
      <c r="U18" s="22"/>
      <c r="V18" s="22"/>
      <c r="W18" s="22"/>
      <c r="X18" s="22"/>
      <c r="Y18" s="22"/>
      <c r="Z18" s="24"/>
      <c r="AA18" s="22"/>
      <c r="AB18" s="22"/>
      <c r="AC18" s="22"/>
      <c r="AD18" s="22"/>
      <c r="AE18" s="22"/>
      <c r="AF18" s="22"/>
      <c r="AG18" s="22"/>
      <c r="AH18" s="22"/>
      <c r="AI18" s="22"/>
      <c r="AJ18" s="22"/>
      <c r="AK18" s="22"/>
      <c r="AL18" s="22"/>
      <c r="AM18" s="22"/>
      <c r="AN18" s="22"/>
      <c r="AO18" s="22"/>
      <c r="AP18" s="22"/>
      <c r="AQ18" s="22"/>
      <c r="AR18" s="22"/>
      <c r="AS18" s="22"/>
      <c r="AT18" s="22"/>
      <c r="AU18" s="22"/>
      <c r="AV18" s="22"/>
      <c r="AW18" s="22"/>
      <c r="AX18" s="22"/>
      <c r="AY18" s="22"/>
      <c r="AZ18" s="22"/>
      <c r="BA18" s="22"/>
      <c r="BB18" s="22"/>
      <c r="BC18" s="22"/>
      <c r="BD18" s="22"/>
      <c r="BE18" s="22"/>
      <c r="BF18" s="22"/>
      <c r="BG18" s="22"/>
      <c r="BH18" s="22"/>
      <c r="BI18" s="22"/>
      <c r="BJ18" s="22"/>
      <c r="BK18" s="22"/>
      <c r="BL18" s="22"/>
      <c r="BM18" s="22"/>
    </row>
    <row r="19" spans="1:65" s="2" customFormat="1" ht="30" customHeight="1" thickBot="1" x14ac:dyDescent="0.75">
      <c r="A19" s="31"/>
      <c r="B19" s="39" t="s">
        <v>42</v>
      </c>
      <c r="C19" s="37" t="s">
        <v>43</v>
      </c>
      <c r="D19" s="45">
        <v>4000</v>
      </c>
      <c r="E19" s="38">
        <v>0</v>
      </c>
      <c r="F19" s="40">
        <v>45632</v>
      </c>
      <c r="G19" s="40">
        <v>45632</v>
      </c>
      <c r="H19" s="7"/>
      <c r="I19" s="23">
        <f t="shared" si="4"/>
        <v>1</v>
      </c>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2"/>
      <c r="AR19" s="22"/>
      <c r="AS19" s="22"/>
      <c r="AT19" s="22"/>
      <c r="AU19" s="22"/>
      <c r="AV19" s="22"/>
      <c r="AW19" s="22"/>
      <c r="AX19" s="22"/>
      <c r="AY19" s="22"/>
      <c r="AZ19" s="22"/>
      <c r="BA19" s="22"/>
      <c r="BB19" s="22"/>
      <c r="BC19" s="22"/>
      <c r="BD19" s="22"/>
      <c r="BE19" s="22"/>
      <c r="BF19" s="22"/>
      <c r="BG19" s="22"/>
      <c r="BH19" s="22"/>
      <c r="BI19" s="22"/>
      <c r="BJ19" s="22"/>
      <c r="BK19" s="22"/>
      <c r="BL19" s="22"/>
      <c r="BM19" s="22"/>
    </row>
    <row r="20" spans="1:65" s="2" customFormat="1" ht="22" customHeight="1" thickBot="1" x14ac:dyDescent="0.75">
      <c r="A20" s="31" t="s">
        <v>19</v>
      </c>
      <c r="B20" s="41" t="s">
        <v>44</v>
      </c>
      <c r="C20" s="42"/>
      <c r="D20" s="49"/>
      <c r="E20" s="43"/>
      <c r="F20" s="43"/>
      <c r="G20" s="43"/>
      <c r="H20" s="44"/>
      <c r="I20" s="23" t="str">
        <f t="shared" si="4"/>
        <v/>
      </c>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2"/>
      <c r="AR20" s="22"/>
      <c r="AS20" s="22"/>
      <c r="AT20" s="22"/>
      <c r="AU20" s="22"/>
      <c r="AV20" s="22"/>
      <c r="AW20" s="22"/>
      <c r="AX20" s="22"/>
      <c r="AY20" s="22"/>
      <c r="AZ20" s="22"/>
      <c r="BA20" s="22"/>
      <c r="BB20" s="22"/>
      <c r="BC20" s="22"/>
      <c r="BD20" s="22"/>
      <c r="BE20" s="22"/>
      <c r="BF20" s="22"/>
      <c r="BG20" s="22"/>
      <c r="BH20" s="22"/>
      <c r="BI20" s="22"/>
      <c r="BJ20" s="22"/>
      <c r="BK20" s="22"/>
      <c r="BL20" s="22"/>
      <c r="BM20" s="22"/>
    </row>
    <row r="21" spans="1:65" s="2" customFormat="1" ht="30" customHeight="1" thickBot="1" x14ac:dyDescent="0.75">
      <c r="A21" s="31"/>
      <c r="B21" s="39" t="s">
        <v>45</v>
      </c>
      <c r="C21" s="37" t="s">
        <v>46</v>
      </c>
      <c r="D21" s="45">
        <v>800</v>
      </c>
      <c r="E21" s="38">
        <v>0</v>
      </c>
      <c r="F21" s="40">
        <v>45633</v>
      </c>
      <c r="G21" s="40">
        <v>45634</v>
      </c>
      <c r="H21" s="7"/>
      <c r="I21" s="23">
        <f t="shared" si="4"/>
        <v>2</v>
      </c>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2"/>
      <c r="AR21" s="22"/>
      <c r="AS21" s="22"/>
      <c r="AT21" s="22"/>
      <c r="AU21" s="22"/>
      <c r="AV21" s="22"/>
      <c r="AW21" s="22"/>
      <c r="AX21" s="22"/>
      <c r="AY21" s="22"/>
      <c r="AZ21" s="22"/>
      <c r="BA21" s="22"/>
      <c r="BB21" s="22"/>
      <c r="BC21" s="22"/>
      <c r="BD21" s="22"/>
      <c r="BE21" s="22"/>
      <c r="BF21" s="22"/>
      <c r="BG21" s="22"/>
      <c r="BH21" s="22"/>
      <c r="BI21" s="22"/>
      <c r="BJ21" s="22"/>
      <c r="BK21" s="22"/>
      <c r="BL21" s="22"/>
      <c r="BM21" s="22"/>
    </row>
    <row r="22" spans="1:65" s="2" customFormat="1" ht="30" customHeight="1" thickBot="1" x14ac:dyDescent="0.75">
      <c r="A22" s="31"/>
      <c r="B22" s="39" t="s">
        <v>47</v>
      </c>
      <c r="C22" s="37" t="s">
        <v>48</v>
      </c>
      <c r="D22" s="45">
        <v>0</v>
      </c>
      <c r="E22" s="38">
        <v>0</v>
      </c>
      <c r="F22" s="40">
        <v>45635</v>
      </c>
      <c r="G22" s="40">
        <v>45636</v>
      </c>
      <c r="H22" s="7"/>
      <c r="I22" s="23">
        <f t="shared" si="4"/>
        <v>2</v>
      </c>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c r="AV22" s="22"/>
      <c r="AW22" s="22"/>
      <c r="AX22" s="22"/>
      <c r="AY22" s="22"/>
      <c r="AZ22" s="22"/>
      <c r="BA22" s="22"/>
      <c r="BB22" s="22"/>
      <c r="BC22" s="22"/>
      <c r="BD22" s="22"/>
      <c r="BE22" s="22"/>
      <c r="BF22" s="22"/>
      <c r="BG22" s="22"/>
      <c r="BH22" s="22"/>
      <c r="BI22" s="22"/>
      <c r="BJ22" s="22"/>
      <c r="BK22" s="22"/>
      <c r="BL22" s="22"/>
      <c r="BM22" s="22"/>
    </row>
  </sheetData>
  <mergeCells count="11">
    <mergeCell ref="AE4:AK4"/>
    <mergeCell ref="AL4:AR4"/>
    <mergeCell ref="AS4:AY4"/>
    <mergeCell ref="AZ4:BF4"/>
    <mergeCell ref="BG4:BM4"/>
    <mergeCell ref="X4:AD4"/>
    <mergeCell ref="C3:E3"/>
    <mergeCell ref="F3:G3"/>
    <mergeCell ref="C4:E4"/>
    <mergeCell ref="J4:P4"/>
    <mergeCell ref="Q4:W4"/>
  </mergeCells>
  <conditionalFormatting sqref="E7:E22">
    <cfRule type="dataBar" priority="1">
      <dataBar>
        <cfvo type="num" val="0"/>
        <cfvo type="num" val="1"/>
        <color theme="0" tint="-0.249977111117893"/>
      </dataBar>
      <extLst>
        <ext xmlns:x14="http://schemas.microsoft.com/office/spreadsheetml/2009/9/main" uri="{B025F937-C7B1-47D3-B67F-A62EFF666E3E}">
          <x14:id>{2AD09CD6-A79E-43A1-B5EC-03F6A27F18AF}</x14:id>
        </ext>
      </extLst>
    </cfRule>
  </conditionalFormatting>
  <conditionalFormatting sqref="J5:BM22">
    <cfRule type="expression" dxfId="2" priority="4">
      <formula>AND(TODAY()&gt;=J$5,TODAY()&lt;K$5)</formula>
    </cfRule>
  </conditionalFormatting>
  <conditionalFormatting sqref="J7:BM22">
    <cfRule type="expression" dxfId="1" priority="2">
      <formula>AND(Início_da_tarefa&lt;=J$5,ROUNDDOWN((Término_da_tarefa-Início_da_tarefa+1)*Progresso_da_tarefa,0)+Início_da_tarefa-1&gt;=J$5)</formula>
    </cfRule>
    <cfRule type="expression" dxfId="0" priority="3" stopIfTrue="1">
      <formula>AND(Término_da_tarefa&gt;=J$5,Início_da_tarefa&lt;K$5)</formula>
    </cfRule>
  </conditionalFormatting>
  <dataValidations count="1">
    <dataValidation type="whole" operator="greaterThanOrEqual" allowBlank="1" showInputMessage="1" promptTitle="Semana de exibição" prompt="Alterar esse número rola a exibição do Gráfico de Gantt." sqref="F4" xr:uid="{B9D2C0CC-CB29-4DD5-94E1-C50EA4089B6A}">
      <formula1>1</formula1>
    </dataValidation>
  </dataValidations>
  <printOptions horizontalCentered="1"/>
  <pageMargins left="0.35" right="0.35" top="0.35" bottom="0.5" header="0.3" footer="0.3"/>
  <pageSetup paperSize="9" scale="54" fitToHeight="0" orientation="landscape" r:id="rId1"/>
  <headerFooter differentFirst="1" scaleWithDoc="0">
    <oddFooter>Page &amp;P of &amp;N</oddFooter>
  </headerFooter>
  <drawing r:id="rId2"/>
  <legacyDrawing r:id="rId3"/>
  <extLst>
    <ext xmlns:x14="http://schemas.microsoft.com/office/spreadsheetml/2009/9/main" uri="{78C0D931-6437-407d-A8EE-F0AAD7539E65}">
      <x14:conditionalFormattings>
        <x14:conditionalFormatting xmlns:xm="http://schemas.microsoft.com/office/excel/2006/main">
          <x14:cfRule type="dataBar" id="{2AD09CD6-A79E-43A1-B5EC-03F6A27F18AF}">
            <x14:dataBar minLength="0" maxLength="100" gradient="0">
              <x14:cfvo type="num">
                <xm:f>0</xm:f>
              </x14:cfvo>
              <x14:cfvo type="num">
                <xm:f>1</xm:f>
              </x14:cfvo>
              <x14:negativeFillColor rgb="FFFF0000"/>
              <x14:axisColor rgb="FF000000"/>
            </x14:dataBar>
          </x14:cfRule>
          <xm:sqref>E7:E22</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acb3b2f-5927-4b98-82b1-fea2b4072a87">
      <Terms xmlns="http://schemas.microsoft.com/office/infopath/2007/PartnerControls"/>
    </lcf76f155ced4ddcb4097134ff3c332f>
    <Curso xmlns="aacb3b2f-5927-4b98-82b1-fea2b4072a87" xsi:nil="true"/>
    <Semana xmlns="aacb3b2f-5927-4b98-82b1-fea2b4072a87" xsi:nil="true"/>
    <Ano xmlns="aacb3b2f-5927-4b98-82b1-fea2b4072a87"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B81252851F28942875D89D2C39F1241" ma:contentTypeVersion="18" ma:contentTypeDescription="Create a new document." ma:contentTypeScope="" ma:versionID="02da44e9013d71c9a799f15aa087fd1a">
  <xsd:schema xmlns:xsd="http://www.w3.org/2001/XMLSchema" xmlns:xs="http://www.w3.org/2001/XMLSchema" xmlns:p="http://schemas.microsoft.com/office/2006/metadata/properties" xmlns:ns2="aacb3b2f-5927-4b98-82b1-fea2b4072a87" xmlns:ns3="a45d3e5f-3e31-4187-b998-c44ee850df36" targetNamespace="http://schemas.microsoft.com/office/2006/metadata/properties" ma:root="true" ma:fieldsID="0a1e5cb7da89fe7a0e807c4c586db3c1" ns2:_="" ns3:_="">
    <xsd:import namespace="aacb3b2f-5927-4b98-82b1-fea2b4072a87"/>
    <xsd:import namespace="a45d3e5f-3e31-4187-b998-c44ee850df36"/>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lcf76f155ced4ddcb4097134ff3c332f"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SearchProperties" minOccurs="0"/>
                <xsd:element ref="ns2:MediaServiceLocation" minOccurs="0"/>
                <xsd:element ref="ns2:Curso" minOccurs="0"/>
                <xsd:element ref="ns2:Semana" minOccurs="0"/>
                <xsd:element ref="ns2:Ano"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acb3b2f-5927-4b98-82b1-fea2b4072a8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a85b3961-dbc6-48b8-bc39-d3804789286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Location" ma:index="21" nillable="true" ma:displayName="Location" ma:description="" ma:indexed="true" ma:internalName="MediaServiceLocation" ma:readOnly="true">
      <xsd:simpleType>
        <xsd:restriction base="dms:Text"/>
      </xsd:simpleType>
    </xsd:element>
    <xsd:element name="Curso" ma:index="22" nillable="true" ma:displayName="Curso" ma:format="Dropdown" ma:internalName="Curso">
      <xsd:simpleType>
        <xsd:restriction base="dms:Text">
          <xsd:maxLength value="255"/>
        </xsd:restriction>
      </xsd:simpleType>
    </xsd:element>
    <xsd:element name="Semana" ma:index="23" nillable="true" ma:displayName="Semana" ma:format="Dropdown" ma:internalName="Semana">
      <xsd:simpleType>
        <xsd:restriction base="dms:Text">
          <xsd:maxLength value="255"/>
        </xsd:restriction>
      </xsd:simpleType>
    </xsd:element>
    <xsd:element name="Ano" ma:index="24" nillable="true" ma:displayName="Ano" ma:format="Dropdown" ma:internalName="Ano">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45d3e5f-3e31-4187-b998-c44ee850df36"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4A34E49-7289-4AEA-9593-4F55E04ADB10}">
  <ds:schemaRefs>
    <ds:schemaRef ds:uri="http://schemas.microsoft.com/sharepoint/v3/contenttype/forms"/>
  </ds:schemaRefs>
</ds:datastoreItem>
</file>

<file path=customXml/itemProps2.xml><?xml version="1.0" encoding="utf-8"?>
<ds:datastoreItem xmlns:ds="http://schemas.openxmlformats.org/officeDocument/2006/customXml" ds:itemID="{AC3AD2E1-977A-4D4F-8EE8-D64B5FFADF75}">
  <ds:schemaRefs>
    <ds:schemaRef ds:uri="http://schemas.microsoft.com/office/2006/metadata/properties"/>
    <ds:schemaRef ds:uri="http://schemas.microsoft.com/office/infopath/2007/PartnerControls"/>
    <ds:schemaRef ds:uri="aacb3b2f-5927-4b98-82b1-fea2b4072a87"/>
  </ds:schemaRefs>
</ds:datastoreItem>
</file>

<file path=customXml/itemProps3.xml><?xml version="1.0" encoding="utf-8"?>
<ds:datastoreItem xmlns:ds="http://schemas.openxmlformats.org/officeDocument/2006/customXml" ds:itemID="{6C643485-BEB8-41E6-AF75-50BF90886DF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acb3b2f-5927-4b98-82b1-fea2b4072a87"/>
    <ds:schemaRef ds:uri="a45d3e5f-3e31-4187-b998-c44ee850df3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Planilhas</vt:lpstr>
      </vt:variant>
      <vt:variant>
        <vt:i4>2</vt:i4>
      </vt:variant>
      <vt:variant>
        <vt:lpstr>Intervalos Nomeados</vt:lpstr>
      </vt:variant>
      <vt:variant>
        <vt:i4>12</vt:i4>
      </vt:variant>
    </vt:vector>
  </HeadingPairs>
  <TitlesOfParts>
    <vt:vector size="14" baseType="lpstr">
      <vt:lpstr>Cronograma</vt:lpstr>
      <vt:lpstr>Exemplo aplicado</vt:lpstr>
      <vt:lpstr>Cronograma!Início_da_tarefa</vt:lpstr>
      <vt:lpstr>'Exemplo aplicado'!Início_da_tarefa</vt:lpstr>
      <vt:lpstr>Cronograma!Início_do_projeto</vt:lpstr>
      <vt:lpstr>'Exemplo aplicado'!Início_do_projeto</vt:lpstr>
      <vt:lpstr>Cronograma!Progresso_da_tarefa</vt:lpstr>
      <vt:lpstr>'Exemplo aplicado'!Progresso_da_tarefa</vt:lpstr>
      <vt:lpstr>Cronograma!Semana_de_exibição</vt:lpstr>
      <vt:lpstr>'Exemplo aplicado'!Semana_de_exibição</vt:lpstr>
      <vt:lpstr>Cronograma!Término_da_tarefa</vt:lpstr>
      <vt:lpstr>'Exemplo aplicado'!Término_da_tarefa</vt:lpstr>
      <vt:lpstr>Cronograma!Titulos_de_impressao</vt:lpstr>
      <vt:lpstr>'Exemplo aplicado'!Titulos_de_impressao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2021-12-14T20:18:50Z</dcterms:created>
  <dcterms:modified xsi:type="dcterms:W3CDTF">2026-04-07T14:27:32Z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0x0101004B81252851F28942875D89D2C39F1241</vt:lpwstr>
  </property>
  <property fmtid="{D5CDD505-2E9C-101B-9397-08002B2CF9AE}" pid="3" name="MediaServiceImageTags">
    <vt:lpwstr/>
  </property>
</Properties>
</file>